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Top Ranked Jobs" sheetId="3" state="visible" r:id="rId3"/>
    <sheet name="By Company" sheetId="4" state="visible" r:id="rId4"/>
    <sheet name="By Type" sheetId="5" state="visible" r:id="rId5"/>
    <sheet name="Tier Summary" sheetId="6" state="visible" r:id="rId6"/>
    <sheet name="Action Plan" sheetId="7" state="visible" r:id="rId7"/>
  </sheets>
  <definedNames>
    <definedName name="_xlnm._FilterDatabase" localSheetId="2" hidden="1">'Top Ranked Jobs'!$B$6:$Q$55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01696F"/>
      <sz val="28"/>
    </font>
    <font>
      <name val="Calibri"/>
      <i val="1"/>
      <color rgb="007A7974"/>
      <sz val="12"/>
    </font>
    <font>
      <name val="Calibri"/>
      <b val="1"/>
      <color rgb="0001696F"/>
      <sz val="11"/>
    </font>
    <font>
      <name val="Calibri"/>
      <b val="1"/>
      <color rgb="0028251D"/>
      <sz val="10"/>
    </font>
    <font>
      <name val="Calibri"/>
      <color rgb="0028251D"/>
      <sz val="11"/>
    </font>
    <font>
      <name val="Calibri"/>
      <i val="1"/>
      <color rgb="007A7974"/>
      <sz val="9"/>
    </font>
    <font>
      <name val="Calibri"/>
      <b val="1"/>
      <color rgb="00FFFFFF"/>
      <sz val="24"/>
    </font>
    <font>
      <name val="Calibri"/>
      <b val="1"/>
      <color rgb="007A7974"/>
      <sz val="9"/>
    </font>
    <font>
      <name val="Calibri"/>
      <b val="1"/>
      <color rgb="000C4E54"/>
      <sz val="24"/>
    </font>
    <font>
      <name val="Calibri"/>
      <b val="1"/>
      <color rgb="000C4E54"/>
      <sz val="12"/>
    </font>
    <font>
      <name val="Calibri"/>
      <b val="1"/>
      <color rgb="00FFFFFF"/>
      <sz val="11"/>
    </font>
    <font>
      <name val="Calibri"/>
      <color rgb="0028251D"/>
      <sz val="10"/>
    </font>
    <font>
      <name val="Calibri"/>
      <b val="1"/>
      <color rgb="0001696F"/>
      <sz val="10"/>
      <u val="single"/>
    </font>
    <font>
      <name val="Calibri"/>
      <b val="1"/>
      <color rgb="0001696F"/>
      <sz val="18"/>
    </font>
  </fonts>
  <fills count="12">
    <fill>
      <patternFill/>
    </fill>
    <fill>
      <patternFill patternType="gray125"/>
    </fill>
    <fill>
      <patternFill patternType="solid">
        <fgColor rgb="00F7F6F2"/>
      </patternFill>
    </fill>
    <fill>
      <patternFill patternType="solid">
        <fgColor rgb="0001696F"/>
      </patternFill>
    </fill>
    <fill>
      <patternFill patternType="solid">
        <fgColor rgb="0020808D"/>
      </patternFill>
    </fill>
    <fill>
      <patternFill patternType="solid">
        <fgColor rgb="00F9F8F5"/>
      </patternFill>
    </fill>
    <fill>
      <patternFill patternType="solid">
        <fgColor rgb="00FBFBF9"/>
      </patternFill>
    </fill>
    <fill>
      <patternFill patternType="solid">
        <fgColor rgb="00FFE7CE"/>
      </patternFill>
    </fill>
    <fill>
      <patternFill patternType="solid">
        <fgColor rgb="00FFF4D6"/>
      </patternFill>
    </fill>
    <fill>
      <patternFill patternType="solid">
        <fgColor rgb="00E8F1ED"/>
      </patternFill>
    </fill>
    <fill>
      <patternFill patternType="solid">
        <fgColor rgb="00F2F2F0"/>
      </patternFill>
    </fill>
    <fill>
      <patternFill patternType="solid">
        <fgColor rgb="00BCE2E7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6" fillId="2" borderId="0" pivotButton="0" quotePrefix="0" xfId="0"/>
    <xf numFmtId="0" fontId="7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8" fillId="5" borderId="1" applyAlignment="1" pivotButton="0" quotePrefix="0" xfId="0">
      <alignment horizontal="left" vertical="center" indent="1"/>
    </xf>
    <xf numFmtId="0" fontId="0" fillId="2" borderId="1" pivotButton="0" quotePrefix="0" xfId="0"/>
    <xf numFmtId="1" fontId="9" fillId="5" borderId="1" applyAlignment="1" pivotButton="0" quotePrefix="0" xfId="0">
      <alignment horizontal="left" vertical="center" indent="1"/>
    </xf>
    <xf numFmtId="164" fontId="9" fillId="5" borderId="1" applyAlignment="1" pivotButton="0" quotePrefix="0" xfId="0">
      <alignment horizontal="left" vertical="center" indent="1"/>
    </xf>
    <xf numFmtId="165" fontId="9" fillId="5" borderId="1" applyAlignment="1" pivotButton="0" quotePrefix="0" xfId="0">
      <alignment horizontal="left" vertical="center" indent="1"/>
    </xf>
    <xf numFmtId="0" fontId="10" fillId="2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2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1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2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13" fillId="6" borderId="1" applyAlignment="1" pivotButton="0" quotePrefix="0" xfId="0">
      <alignment horizontal="center" vertical="center" wrapText="1"/>
    </xf>
    <xf numFmtId="0" fontId="14" fillId="2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5" fontId="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164" fontId="0" fillId="2" borderId="1" pivotButton="0" quotePrefix="0" xfId="0"/>
    <xf numFmtId="165" fontId="0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164" fontId="4" fillId="11" borderId="1" pivotButton="0" quotePrefix="0" xfId="0"/>
    <xf numFmtId="165" fontId="4" fillId="11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Role count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Type'!C5</f>
            </strRef>
          </tx>
          <spPr>
            <a:ln>
              <a:prstDash val="solid"/>
            </a:ln>
          </spPr>
          <cat>
            <numRef>
              <f>'By Type'!$B$6:$B$20</f>
            </numRef>
          </cat>
          <val>
            <numRef>
              <f>'By Type'!$C$6:$C$20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Roles by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'Tier Summary'!C5</f>
            </strRef>
          </tx>
          <spPr>
            <a:ln>
              <a:prstDash val="solid"/>
            </a:ln>
          </spPr>
          <cat>
            <numRef>
              <f>'Tier Summary'!$B$6:$B$9</f>
            </numRef>
          </cat>
          <val>
            <numRef>
              <f>'Tier Summary'!$C$6:$C$9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reers.jpmorgan.com/us/en/search-results?search=AI%20audit&amp;locationsearch=Jersey%20City" TargetMode="External" Id="rId1" /><Relationship Type="http://schemas.openxmlformats.org/officeDocument/2006/relationships/hyperlink" Target="https://eipn.fa.us2.oraclecloud.com/hcmUI/CandidateExperience/en/sites/CX_1/jobs?keyword=AI%20audit&amp;location=United+States" TargetMode="External" Id="rId2" /><Relationship Type="http://schemas.openxmlformats.org/officeDocument/2006/relationships/hyperlink" Target="https://careers.bms.com/jobs?keywords=internal%20audit" TargetMode="External" Id="rId3" /><Relationship Type="http://schemas.openxmlformats.org/officeDocument/2006/relationships/hyperlink" Target="https://www.morganstanley.com/people-opportunities/job-search?keywords=AI%20audit&amp;location=New+York" TargetMode="External" Id="rId4" /><Relationship Type="http://schemas.openxmlformats.org/officeDocument/2006/relationships/hyperlink" Target="https://higher.gs.com/results?EXPRESS_JOB_FAMILY_NAME=Internal%20Audit&amp;LOCATION=New%20York" TargetMode="External" Id="rId5" /><Relationship Type="http://schemas.openxmlformats.org/officeDocument/2006/relationships/hyperlink" Target="https://jobs.prudential.com/us/en/search-results?keywords=internal%20audit%20AI" TargetMode="External" Id="rId6" /><Relationship Type="http://schemas.openxmlformats.org/officeDocument/2006/relationships/hyperlink" Target="https://www.jnj.com/careers/search-jobs?keywords=internal%20audit%20AI" TargetMode="External" Id="rId7" /><Relationship Type="http://schemas.openxmlformats.org/officeDocument/2006/relationships/hyperlink" Target="https://jobs.citi.com/search-jobs?k=AI%20audit" TargetMode="External" Id="rId8" /><Relationship Type="http://schemas.openxmlformats.org/officeDocument/2006/relationships/hyperlink" Target="https://jobs.merck.com/us/en/search-results?keywords=internal%20audit" TargetMode="External" Id="rId9" /><Relationship Type="http://schemas.openxmlformats.org/officeDocument/2006/relationships/hyperlink" Target="https://www.wellsfargojobs.com/en/search-jobs?ks=AI%20risk%20audit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jpmorgan.com/us/en/search-results?search=AI%20audit&amp;locationsearch=Jersey%20City" TargetMode="External" Id="rId1" /><Relationship Type="http://schemas.openxmlformats.org/officeDocument/2006/relationships/hyperlink" Target="https://eipn.fa.us2.oraclecloud.com/hcmUI/CandidateExperience/en/sites/CX_1/jobs?keyword=AI%20audit&amp;location=United+States" TargetMode="External" Id="rId2" /><Relationship Type="http://schemas.openxmlformats.org/officeDocument/2006/relationships/hyperlink" Target="https://careers.bms.com/jobs?keywords=internal%20audit" TargetMode="External" Id="rId3" /><Relationship Type="http://schemas.openxmlformats.org/officeDocument/2006/relationships/hyperlink" Target="https://www.morganstanley.com/people-opportunities/job-search?keywords=AI%20audit&amp;location=New+York" TargetMode="External" Id="rId4" /><Relationship Type="http://schemas.openxmlformats.org/officeDocument/2006/relationships/hyperlink" Target="https://higher.gs.com/results?EXPRESS_JOB_FAMILY_NAME=Internal%20Audit&amp;LOCATION=New%20York" TargetMode="External" Id="rId5" /><Relationship Type="http://schemas.openxmlformats.org/officeDocument/2006/relationships/hyperlink" Target="https://jobs.prudential.com/us/en/search-results?keywords=internal%20audit%20AI" TargetMode="External" Id="rId6" /><Relationship Type="http://schemas.openxmlformats.org/officeDocument/2006/relationships/hyperlink" Target="https://www.jnj.com/careers/search-jobs?keywords=internal%20audit%20AI" TargetMode="External" Id="rId7" /><Relationship Type="http://schemas.openxmlformats.org/officeDocument/2006/relationships/hyperlink" Target="https://jobs.citi.com/search-jobs?k=AI%20audit" TargetMode="External" Id="rId8" /><Relationship Type="http://schemas.openxmlformats.org/officeDocument/2006/relationships/hyperlink" Target="https://jobs.merck.com/us/en/search-results?keywords=internal%20audit" TargetMode="External" Id="rId9" /><Relationship Type="http://schemas.openxmlformats.org/officeDocument/2006/relationships/hyperlink" Target="https://www.wellsfargojobs.com/en/search-jobs?ks=AI%20risk%20audit" TargetMode="External" Id="rId10" /><Relationship Type="http://schemas.openxmlformats.org/officeDocument/2006/relationships/hyperlink" Target="https://jobs.us.pwc.com/jobs?stretch=10&amp;stretchUnit=MILES&amp;woe=7&amp;location=Florham%20Park%2C%20NJ&amp;keywords=AI%20audit" TargetMode="External" Id="rId11" /><Relationship Type="http://schemas.openxmlformats.org/officeDocument/2006/relationships/hyperlink" Target="https://careers.biontech.com/global/en/search-results?keywords=internal%20audit" TargetMode="External" Id="rId12" /><Relationship Type="http://schemas.openxmlformats.org/officeDocument/2006/relationships/hyperlink" Target="https://careers.insmed.com/jobs" TargetMode="External" Id="rId13" /><Relationship Type="http://schemas.openxmlformats.org/officeDocument/2006/relationships/hyperlink" Target="https://jobs.adp.com/search-jobs?ks=internal%20audit" TargetMode="External" Id="rId14" /><Relationship Type="http://schemas.openxmlformats.org/officeDocument/2006/relationships/hyperlink" Target="https://jobs.bd.com/search-jobs?k=internal%20audit" TargetMode="External" Id="rId15" /><Relationship Type="http://schemas.openxmlformats.org/officeDocument/2006/relationships/hyperlink" Target="https://search.jobs.barclays/search-jobs?orgIds=27595&amp;kt=1&amp;k=internal%20audit&amp;alp=6252001-5101760-5099836" TargetMode="External" Id="rId16" /><Relationship Type="http://schemas.openxmlformats.org/officeDocument/2006/relationships/hyperlink" Target="https://rsmus.com/careers/search-jobs.html?search=AI%20risk" TargetMode="External" Id="rId17" /><Relationship Type="http://schemas.openxmlformats.org/officeDocument/2006/relationships/hyperlink" Target="https://smbcgroup.wd1.myworkdayjobs.com/SMBC?q=internal%20audit" TargetMode="External" Id="rId18" /><Relationship Type="http://schemas.openxmlformats.org/officeDocument/2006/relationships/hyperlink" Target="https://careers.bankofamerica.com/en-us/job-search?search=model%20risk%20audit&amp;locations=New%20York&amp;locations=Jersey%20City" TargetMode="External" Id="rId19" /><Relationship Type="http://schemas.openxmlformats.org/officeDocument/2006/relationships/hyperlink" Target="https://www.otsuka-us.com/careers" TargetMode="External" Id="rId20" /><Relationship Type="http://schemas.openxmlformats.org/officeDocument/2006/relationships/hyperlink" Target="https://na.panasonic.com/us/about-us-panasonic/careers" TargetMode="External" Id="rId21" /><Relationship Type="http://schemas.openxmlformats.org/officeDocument/2006/relationships/hyperlink" Target="https://jobs.rbc.com/ca/en/search-results?keywords=internal%20audit&amp;locations=Jersey%20City" TargetMode="External" Id="rId22" /><Relationship Type="http://schemas.openxmlformats.org/officeDocument/2006/relationships/hyperlink" Target="https://embecta.wd1.myworkdayjobs.com/Embecta?q=internal%20audit" TargetMode="External" Id="rId23" /><Relationship Type="http://schemas.openxmlformats.org/officeDocument/2006/relationships/hyperlink" Target="https://legendbiotech.wd5.myworkdayjobs.com/external?q=internal%20audit" TargetMode="External" Id="rId24" /><Relationship Type="http://schemas.openxmlformats.org/officeDocument/2006/relationships/hyperlink" Target="https://td.wd3.myworkdayjobs.com/TD?q=internal%20audit" TargetMode="External" Id="rId25" /><Relationship Type="http://schemas.openxmlformats.org/officeDocument/2006/relationships/hyperlink" Target="https://careers.statestreet.com/global/en/search-results?keywords=AI%20audit" TargetMode="External" Id="rId26" /><Relationship Type="http://schemas.openxmlformats.org/officeDocument/2006/relationships/hyperlink" Target="https://www.nrg.com/careers.html" TargetMode="External" Id="rId27" /><Relationship Type="http://schemas.openxmlformats.org/officeDocument/2006/relationships/hyperlink" Target="https://jobs.avisbudgetgroup.com/search?q=internal%20audit" TargetMode="External" Id="rId28" /><Relationship Type="http://schemas.openxmlformats.org/officeDocument/2006/relationships/hyperlink" Target="https://njit.csod.com/ux/ats/careersite/1/home?c=njit" TargetMode="External" Id="rId29" /><Relationship Type="http://schemas.openxmlformats.org/officeDocument/2006/relationships/hyperlink" Target="https://main-princeton.icims.com/jobs/search?ss=1&amp;searchKeyword=audit" TargetMode="External" Id="rId30" /><Relationship Type="http://schemas.openxmlformats.org/officeDocument/2006/relationships/hyperlink" Target="https://www.crowe.com/careers/search-jobs" TargetMode="External" Id="rId31" /><Relationship Type="http://schemas.openxmlformats.org/officeDocument/2006/relationships/hyperlink" Target="https://solvenergy.com/careers/" TargetMode="External" Id="rId32" /><Relationship Type="http://schemas.openxmlformats.org/officeDocument/2006/relationships/hyperlink" Target="https://bakertilly.com/careers/search-jobs" TargetMode="External" Id="rId33" /><Relationship Type="http://schemas.openxmlformats.org/officeDocument/2006/relationships/hyperlink" Target="https://jobs.shu.edu/" TargetMode="External" Id="rId34" /><Relationship Type="http://schemas.openxmlformats.org/officeDocument/2006/relationships/hyperlink" Target="https://jobs.rutgers.edu/postings/search" TargetMode="External" Id="rId35" /><Relationship Type="http://schemas.openxmlformats.org/officeDocument/2006/relationships/hyperlink" Target="https://kearnybank.applicantpool.com/jobs/" TargetMode="External" Id="rId36" /><Relationship Type="http://schemas.openxmlformats.org/officeDocument/2006/relationships/hyperlink" Target="https://www.roberthalf.com/us/en/jobs?keywords=audit" TargetMode="External" Id="rId37" /><Relationship Type="http://schemas.openxmlformats.org/officeDocument/2006/relationships/hyperlink" Target="https://www.stevens.edu/about-stevens/work-at-stevens" TargetMode="External" Id="rId38" /><Relationship Type="http://schemas.openxmlformats.org/officeDocument/2006/relationships/hyperlink" Target="https://hr.fiu.edu/careers/" TargetMode="External" Id="rId39" /><Relationship Type="http://schemas.openxmlformats.org/officeDocument/2006/relationships/hyperlink" Target="https://njit.csod.com/ux/ats/careersite/1/home?c=njit" TargetMode="External" Id="rId40" /><Relationship Type="http://schemas.openxmlformats.org/officeDocument/2006/relationships/hyperlink" Target="https://employment.rider.edu/postings/search" TargetMode="External" Id="rId41" /><Relationship Type="http://schemas.openxmlformats.org/officeDocument/2006/relationships/hyperlink" Target="https://saintpeters.peopleadmin.com/postings/search" TargetMode="External" Id="rId42" /><Relationship Type="http://schemas.openxmlformats.org/officeDocument/2006/relationships/hyperlink" Target="https://fdujobs.fdu.edu/postings/search" TargetMode="External" Id="rId43" /><Relationship Type="http://schemas.openxmlformats.org/officeDocument/2006/relationships/hyperlink" Target="https://jobs.kean.edu/postings/search" TargetMode="External" Id="rId44" /><Relationship Type="http://schemas.openxmlformats.org/officeDocument/2006/relationships/hyperlink" Target="https://njcu.peopleadmin.com/postings/search" TargetMode="External" Id="rId45" /><Relationship Type="http://schemas.openxmlformats.org/officeDocument/2006/relationships/hyperlink" Target="https://montclair.peopleadmin.com/postings/search" TargetMode="External" Id="rId46" /><Relationship Type="http://schemas.openxmlformats.org/officeDocument/2006/relationships/hyperlink" Target="https://wpunj.peopleadmin.com/postings/search" TargetMode="External" Id="rId47" /><Relationship Type="http://schemas.openxmlformats.org/officeDocument/2006/relationships/hyperlink" Target="https://www.mccc.edu/admin_hr_employment.shtml" TargetMode="External" Id="rId48" /><Relationship Type="http://schemas.openxmlformats.org/officeDocument/2006/relationships/hyperlink" Target="https://www.essex.edu/hr/" TargetMode="External" Id="rId49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92" customWidth="1" min="3" max="3"/>
    <col width="4" customWidth="1" min="4" max="4"/>
  </cols>
  <sheetData>
    <row r="1">
      <c r="A1" s="1" t="n"/>
      <c r="B1" s="1" t="n"/>
      <c r="C1" s="1" t="n"/>
      <c r="D1" s="1" t="n"/>
      <c r="E1" s="1" t="n"/>
    </row>
    <row r="2" ht="40" customHeight="1">
      <c r="A2" s="1" t="n"/>
      <c r="B2" s="2" t="inlineStr">
        <is>
          <t>Yasir A. Malik — NJ/NYC Job Pipeline Dashboard</t>
        </is>
      </c>
      <c r="C2" s="1" t="n"/>
      <c r="D2" s="1" t="n"/>
      <c r="E2" s="1" t="n"/>
    </row>
    <row r="3" ht="22" customHeight="1">
      <c r="A3" s="1" t="n"/>
      <c r="B3" s="3" t="inlineStr">
        <is>
          <t>Curated pipeline of audit, risk, and AI-governance roles in the NJ/NYC corridor</t>
        </is>
      </c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 ht="24" customHeight="1">
      <c r="A5" s="1" t="n"/>
      <c r="B5" s="4" t="inlineStr">
        <is>
          <t>HOW TO USE THIS WORKBOOK</t>
        </is>
      </c>
      <c r="C5" s="1" t="n"/>
      <c r="D5" s="1" t="n"/>
      <c r="E5" s="1" t="n"/>
    </row>
    <row r="6" ht="32" customHeight="1">
      <c r="A6" s="1" t="n"/>
      <c r="B6" s="5" t="inlineStr">
        <is>
          <t>Dashboard</t>
        </is>
      </c>
      <c r="C6" s="6" t="inlineStr">
        <is>
          <t>KPI cards + top-10 leaderboard. Start here every Monday morning.</t>
        </is>
      </c>
      <c r="D6" s="1" t="n"/>
      <c r="E6" s="1" t="n"/>
    </row>
    <row r="7" ht="32" customHeight="1">
      <c r="A7" s="1" t="n"/>
      <c r="B7" s="5" t="inlineStr">
        <is>
          <t>Top Ranked Jobs</t>
        </is>
      </c>
      <c r="C7" s="6" t="inlineStr">
        <is>
          <t>Full ranked table with composite score, fit, salary, and apply links.</t>
        </is>
      </c>
      <c r="D7" s="1" t="n"/>
      <c r="E7" s="1" t="n"/>
    </row>
    <row r="8" ht="32" customHeight="1">
      <c r="A8" s="1" t="n"/>
      <c r="B8" s="5" t="inlineStr">
        <is>
          <t>By Company</t>
        </is>
      </c>
      <c r="C8" s="6" t="inlineStr">
        <is>
          <t>Cross-tab: roles per employer with min/median/max salary mid and avg fit.</t>
        </is>
      </c>
      <c r="D8" s="1" t="n"/>
      <c r="E8" s="1" t="n"/>
    </row>
    <row r="9" ht="32" customHeight="1">
      <c r="A9" s="1" t="n"/>
      <c r="B9" s="5" t="inlineStr">
        <is>
          <t>By Type</t>
        </is>
      </c>
      <c r="C9" s="6" t="inlineStr">
        <is>
          <t>Cross-tab on category (G-SIB, Pharma, Biotech, Consulting, Academic, …) plus chart.</t>
        </is>
      </c>
      <c r="D9" s="1" t="n"/>
      <c r="E9" s="1" t="n"/>
    </row>
    <row r="10" ht="32" customHeight="1">
      <c r="A10" s="1" t="n"/>
      <c r="B10" s="5" t="inlineStr">
        <is>
          <t>Tier Summary</t>
        </is>
      </c>
      <c r="C10" s="6" t="inlineStr">
        <is>
          <t>Counts and salary ranges per tier (1 = bullseye, 4 = adjunct). Includes chart.</t>
        </is>
      </c>
      <c r="D10" s="1" t="n"/>
      <c r="E10" s="1" t="n"/>
    </row>
    <row r="11" ht="32" customHeight="1">
      <c r="A11" s="1" t="n"/>
      <c r="B11" s="5" t="inlineStr">
        <is>
          <t>Action Plan</t>
        </is>
      </c>
      <c r="C11" s="6" t="inlineStr">
        <is>
          <t>Week-by-week application schedule for the next four weeks.</t>
        </is>
      </c>
      <c r="D11" s="1" t="n"/>
      <c r="E11" s="1" t="n"/>
    </row>
    <row r="12">
      <c r="A12" s="1" t="n"/>
      <c r="B12" s="1" t="n"/>
      <c r="C12" s="1" t="n"/>
      <c r="D12" s="1" t="n"/>
      <c r="E12" s="1" t="n"/>
    </row>
    <row r="13">
      <c r="A13" s="1" t="n"/>
      <c r="B13" s="7" t="inlineStr">
        <is>
          <t>Built 2026-05-22 · Yasir A. Malik · YasirAMalik@gmail.com</t>
        </is>
      </c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1" t="n"/>
      <c r="B15" s="1" t="n"/>
      <c r="C15" s="1" t="n"/>
      <c r="D15" s="1" t="n"/>
      <c r="E15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44" customHeight="1">
      <c r="A2" s="1" t="n"/>
      <c r="B2" s="8" t="inlineStr">
        <is>
          <t>JOB PIPELINE —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5" customHeight="1">
      <c r="A5" s="1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1" t="n"/>
      <c r="O5" s="1" t="n"/>
    </row>
    <row r="6" ht="22" customHeight="1">
      <c r="A6" s="1" t="n"/>
      <c r="B6" s="10" t="inlineStr">
        <is>
          <t>TOTAL ROLES</t>
        </is>
      </c>
      <c r="C6" s="11" t="n"/>
      <c r="D6" s="11" t="n"/>
      <c r="E6" s="11" t="n"/>
      <c r="F6" s="10" t="inlineStr">
        <is>
          <t>ROLES ≥ $200K MID</t>
        </is>
      </c>
      <c r="G6" s="11" t="n"/>
      <c r="H6" s="11" t="n"/>
      <c r="I6" s="11" t="n"/>
      <c r="J6" s="10" t="inlineStr">
        <is>
          <t>ROLES WITH FIT ≥ 9.0</t>
        </is>
      </c>
      <c r="K6" s="11" t="n"/>
      <c r="L6" s="11" t="n"/>
      <c r="M6" s="11" t="n"/>
      <c r="N6" s="1" t="n"/>
      <c r="O6" s="1" t="n"/>
    </row>
    <row r="7" ht="34" customHeight="1">
      <c r="A7" s="1" t="n"/>
      <c r="B7" s="12">
        <f>COUNTA('Top Ranked Jobs'!D7:D55)</f>
        <v/>
      </c>
      <c r="C7" s="11" t="n"/>
      <c r="D7" s="11" t="n"/>
      <c r="E7" s="11" t="n"/>
      <c r="F7" s="12">
        <f>COUNTIF('Top Ranked Jobs'!K7:K55,"&gt;=200000")</f>
        <v/>
      </c>
      <c r="G7" s="11" t="n"/>
      <c r="H7" s="11" t="n"/>
      <c r="I7" s="11" t="n"/>
      <c r="J7" s="12">
        <f>COUNTIF('Top Ranked Jobs'!L7:L55,"&gt;=9")</f>
        <v/>
      </c>
      <c r="K7" s="11" t="n"/>
      <c r="L7" s="11" t="n"/>
      <c r="M7" s="11" t="n"/>
      <c r="N7" s="1" t="n"/>
      <c r="O7" s="1" t="n"/>
    </row>
    <row r="8" ht="12" customHeight="1">
      <c r="A8" s="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5" customHeight="1">
      <c r="A10" s="1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1" t="n"/>
      <c r="O10" s="1" t="n"/>
    </row>
    <row r="11" ht="22" customHeight="1">
      <c r="A11" s="1" t="n"/>
      <c r="B11" s="10" t="inlineStr">
        <is>
          <t>MEDIAN SALARY MID</t>
        </is>
      </c>
      <c r="C11" s="11" t="n"/>
      <c r="D11" s="11" t="n"/>
      <c r="E11" s="11" t="n"/>
      <c r="F11" s="10" t="inlineStr">
        <is>
          <t>TOP COMPOSITE SCORE</t>
        </is>
      </c>
      <c r="G11" s="11" t="n"/>
      <c r="H11" s="11" t="n"/>
      <c r="I11" s="11" t="n"/>
      <c r="J11" s="10" t="inlineStr">
        <is>
          <t>AVG FIT SCORE</t>
        </is>
      </c>
      <c r="K11" s="11" t="n"/>
      <c r="L11" s="11" t="n"/>
      <c r="M11" s="11" t="n"/>
      <c r="N11" s="1" t="n"/>
      <c r="O11" s="1" t="n"/>
    </row>
    <row r="12" ht="34" customHeight="1">
      <c r="A12" s="1" t="n"/>
      <c r="B12" s="13">
        <f>MEDIAN('Top Ranked Jobs'!K7:K55)</f>
        <v/>
      </c>
      <c r="C12" s="11" t="n"/>
      <c r="D12" s="11" t="n"/>
      <c r="E12" s="11" t="n"/>
      <c r="F12" s="13">
        <f>MAX('Top Ranked Jobs'!M7:M55)</f>
        <v/>
      </c>
      <c r="G12" s="11" t="n"/>
      <c r="H12" s="11" t="n"/>
      <c r="I12" s="11" t="n"/>
      <c r="J12" s="14">
        <f>ROUND(AVERAGE('Top Ranked Jobs'!L7:L55),1)</f>
        <v/>
      </c>
      <c r="K12" s="11" t="n"/>
      <c r="L12" s="11" t="n"/>
      <c r="M12" s="11" t="n"/>
      <c r="N12" s="1" t="n"/>
      <c r="O12" s="1" t="n"/>
    </row>
    <row r="13" ht="12" customHeight="1">
      <c r="A13" s="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5" t="inlineStr">
        <is>
          <t>TOP 10 — BY COMPOSITE SCORE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28" customHeight="1">
      <c r="A16" s="1" t="n"/>
      <c r="B16" s="16" t="inlineStr">
        <is>
          <t>Rank</t>
        </is>
      </c>
      <c r="C16" s="16" t="inlineStr">
        <is>
          <t>Company</t>
        </is>
      </c>
      <c r="D16" s="16" t="inlineStr">
        <is>
          <t>Title</t>
        </is>
      </c>
      <c r="E16" s="16" t="inlineStr">
        <is>
          <t>Tier</t>
        </is>
      </c>
      <c r="F16" s="16" t="inlineStr">
        <is>
          <t>Sal Mid</t>
        </is>
      </c>
      <c r="G16" s="16" t="inlineStr">
        <is>
          <t>Fit</t>
        </is>
      </c>
      <c r="H16" s="16" t="inlineStr">
        <is>
          <t>Composite</t>
        </is>
      </c>
      <c r="I16" s="16" t="inlineStr">
        <is>
          <t>Apply</t>
        </is>
      </c>
      <c r="J16" s="1" t="n"/>
      <c r="K16" s="1" t="n"/>
      <c r="L16" s="1" t="n"/>
      <c r="M16" s="1" t="n"/>
      <c r="N16" s="1" t="n"/>
      <c r="O16" s="1" t="n"/>
    </row>
    <row r="17" ht="22" customHeight="1">
      <c r="A17" s="1" t="n"/>
      <c r="B17" s="17" t="n">
        <v>1</v>
      </c>
      <c r="C17" s="18">
        <f>'Top Ranked Jobs'!D7</f>
        <v/>
      </c>
      <c r="D17" s="18">
        <f>'Top Ranked Jobs'!E7</f>
        <v/>
      </c>
      <c r="E17" s="17">
        <f>'Top Ranked Jobs'!C7</f>
        <v/>
      </c>
      <c r="F17" s="19">
        <f>'Top Ranked Jobs'!K7</f>
        <v/>
      </c>
      <c r="G17" s="20">
        <f>'Top Ranked Jobs'!L7</f>
        <v/>
      </c>
      <c r="H17" s="19">
        <f>'Top Ranked Jobs'!M7</f>
        <v/>
      </c>
      <c r="I17" s="21" t="inlineStr">
        <is>
          <t>Apply ▸</t>
        </is>
      </c>
      <c r="J17" s="1" t="n"/>
      <c r="K17" s="1" t="n"/>
      <c r="L17" s="1" t="n"/>
      <c r="M17" s="1" t="n"/>
      <c r="N17" s="1" t="n"/>
      <c r="O17" s="1" t="n"/>
    </row>
    <row r="18" ht="22" customHeight="1">
      <c r="A18" s="1" t="n"/>
      <c r="B18" s="22" t="n">
        <v>2</v>
      </c>
      <c r="C18" s="23">
        <f>'Top Ranked Jobs'!D8</f>
        <v/>
      </c>
      <c r="D18" s="23">
        <f>'Top Ranked Jobs'!E8</f>
        <v/>
      </c>
      <c r="E18" s="22">
        <f>'Top Ranked Jobs'!C8</f>
        <v/>
      </c>
      <c r="F18" s="24">
        <f>'Top Ranked Jobs'!K8</f>
        <v/>
      </c>
      <c r="G18" s="25">
        <f>'Top Ranked Jobs'!L8</f>
        <v/>
      </c>
      <c r="H18" s="24">
        <f>'Top Ranked Jobs'!M8</f>
        <v/>
      </c>
      <c r="I18" s="26" t="inlineStr">
        <is>
          <t>Apply ▸</t>
        </is>
      </c>
      <c r="J18" s="1" t="n"/>
      <c r="K18" s="1" t="n"/>
      <c r="L18" s="1" t="n"/>
      <c r="M18" s="1" t="n"/>
      <c r="N18" s="1" t="n"/>
      <c r="O18" s="1" t="n"/>
    </row>
    <row r="19" ht="22" customHeight="1">
      <c r="A19" s="1" t="n"/>
      <c r="B19" s="17" t="n">
        <v>3</v>
      </c>
      <c r="C19" s="18">
        <f>'Top Ranked Jobs'!D9</f>
        <v/>
      </c>
      <c r="D19" s="18">
        <f>'Top Ranked Jobs'!E9</f>
        <v/>
      </c>
      <c r="E19" s="17">
        <f>'Top Ranked Jobs'!C9</f>
        <v/>
      </c>
      <c r="F19" s="19">
        <f>'Top Ranked Jobs'!K9</f>
        <v/>
      </c>
      <c r="G19" s="20">
        <f>'Top Ranked Jobs'!L9</f>
        <v/>
      </c>
      <c r="H19" s="19">
        <f>'Top Ranked Jobs'!M9</f>
        <v/>
      </c>
      <c r="I19" s="21" t="inlineStr">
        <is>
          <t>Apply ▸</t>
        </is>
      </c>
      <c r="J19" s="1" t="n"/>
      <c r="K19" s="1" t="n"/>
      <c r="L19" s="1" t="n"/>
      <c r="M19" s="1" t="n"/>
      <c r="N19" s="1" t="n"/>
      <c r="O19" s="1" t="n"/>
    </row>
    <row r="20" ht="22" customHeight="1">
      <c r="A20" s="1" t="n"/>
      <c r="B20" s="22" t="n">
        <v>4</v>
      </c>
      <c r="C20" s="23">
        <f>'Top Ranked Jobs'!D10</f>
        <v/>
      </c>
      <c r="D20" s="23">
        <f>'Top Ranked Jobs'!E10</f>
        <v/>
      </c>
      <c r="E20" s="22">
        <f>'Top Ranked Jobs'!C10</f>
        <v/>
      </c>
      <c r="F20" s="24">
        <f>'Top Ranked Jobs'!K10</f>
        <v/>
      </c>
      <c r="G20" s="25">
        <f>'Top Ranked Jobs'!L10</f>
        <v/>
      </c>
      <c r="H20" s="24">
        <f>'Top Ranked Jobs'!M10</f>
        <v/>
      </c>
      <c r="I20" s="26" t="inlineStr">
        <is>
          <t>Apply ▸</t>
        </is>
      </c>
      <c r="J20" s="1" t="n"/>
      <c r="K20" s="1" t="n"/>
      <c r="L20" s="1" t="n"/>
      <c r="M20" s="1" t="n"/>
      <c r="N20" s="1" t="n"/>
      <c r="O20" s="1" t="n"/>
    </row>
    <row r="21" ht="22" customHeight="1">
      <c r="A21" s="1" t="n"/>
      <c r="B21" s="17" t="n">
        <v>5</v>
      </c>
      <c r="C21" s="18">
        <f>'Top Ranked Jobs'!D11</f>
        <v/>
      </c>
      <c r="D21" s="18">
        <f>'Top Ranked Jobs'!E11</f>
        <v/>
      </c>
      <c r="E21" s="17">
        <f>'Top Ranked Jobs'!C11</f>
        <v/>
      </c>
      <c r="F21" s="19">
        <f>'Top Ranked Jobs'!K11</f>
        <v/>
      </c>
      <c r="G21" s="20">
        <f>'Top Ranked Jobs'!L11</f>
        <v/>
      </c>
      <c r="H21" s="19">
        <f>'Top Ranked Jobs'!M11</f>
        <v/>
      </c>
      <c r="I21" s="21" t="inlineStr">
        <is>
          <t>Apply ▸</t>
        </is>
      </c>
      <c r="J21" s="1" t="n"/>
      <c r="K21" s="1" t="n"/>
      <c r="L21" s="1" t="n"/>
      <c r="M21" s="1" t="n"/>
      <c r="N21" s="1" t="n"/>
      <c r="O21" s="1" t="n"/>
    </row>
    <row r="22" ht="22" customHeight="1">
      <c r="A22" s="1" t="n"/>
      <c r="B22" s="22" t="n">
        <v>6</v>
      </c>
      <c r="C22" s="23">
        <f>'Top Ranked Jobs'!D12</f>
        <v/>
      </c>
      <c r="D22" s="23">
        <f>'Top Ranked Jobs'!E12</f>
        <v/>
      </c>
      <c r="E22" s="22">
        <f>'Top Ranked Jobs'!C12</f>
        <v/>
      </c>
      <c r="F22" s="24">
        <f>'Top Ranked Jobs'!K12</f>
        <v/>
      </c>
      <c r="G22" s="25">
        <f>'Top Ranked Jobs'!L12</f>
        <v/>
      </c>
      <c r="H22" s="24">
        <f>'Top Ranked Jobs'!M12</f>
        <v/>
      </c>
      <c r="I22" s="26" t="inlineStr">
        <is>
          <t>Apply ▸</t>
        </is>
      </c>
      <c r="J22" s="1" t="n"/>
      <c r="K22" s="1" t="n"/>
      <c r="L22" s="1" t="n"/>
      <c r="M22" s="1" t="n"/>
      <c r="N22" s="1" t="n"/>
      <c r="O22" s="1" t="n"/>
    </row>
    <row r="23" ht="22" customHeight="1">
      <c r="A23" s="1" t="n"/>
      <c r="B23" s="17" t="n">
        <v>7</v>
      </c>
      <c r="C23" s="18">
        <f>'Top Ranked Jobs'!D13</f>
        <v/>
      </c>
      <c r="D23" s="18">
        <f>'Top Ranked Jobs'!E13</f>
        <v/>
      </c>
      <c r="E23" s="17">
        <f>'Top Ranked Jobs'!C13</f>
        <v/>
      </c>
      <c r="F23" s="19">
        <f>'Top Ranked Jobs'!K13</f>
        <v/>
      </c>
      <c r="G23" s="20">
        <f>'Top Ranked Jobs'!L13</f>
        <v/>
      </c>
      <c r="H23" s="19">
        <f>'Top Ranked Jobs'!M13</f>
        <v/>
      </c>
      <c r="I23" s="21" t="inlineStr">
        <is>
          <t>Apply ▸</t>
        </is>
      </c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2" t="n">
        <v>8</v>
      </c>
      <c r="C24" s="23">
        <f>'Top Ranked Jobs'!D14</f>
        <v/>
      </c>
      <c r="D24" s="23">
        <f>'Top Ranked Jobs'!E14</f>
        <v/>
      </c>
      <c r="E24" s="22">
        <f>'Top Ranked Jobs'!C14</f>
        <v/>
      </c>
      <c r="F24" s="24">
        <f>'Top Ranked Jobs'!K14</f>
        <v/>
      </c>
      <c r="G24" s="25">
        <f>'Top Ranked Jobs'!L14</f>
        <v/>
      </c>
      <c r="H24" s="24">
        <f>'Top Ranked Jobs'!M14</f>
        <v/>
      </c>
      <c r="I24" s="26" t="inlineStr">
        <is>
          <t>Apply ▸</t>
        </is>
      </c>
      <c r="J24" s="1" t="n"/>
      <c r="K24" s="1" t="n"/>
      <c r="L24" s="1" t="n"/>
      <c r="M24" s="1" t="n"/>
      <c r="N24" s="1" t="n"/>
      <c r="O24" s="1" t="n"/>
    </row>
    <row r="25" ht="22" customHeight="1">
      <c r="A25" s="1" t="n"/>
      <c r="B25" s="17" t="n">
        <v>9</v>
      </c>
      <c r="C25" s="18">
        <f>'Top Ranked Jobs'!D15</f>
        <v/>
      </c>
      <c r="D25" s="18">
        <f>'Top Ranked Jobs'!E15</f>
        <v/>
      </c>
      <c r="E25" s="17">
        <f>'Top Ranked Jobs'!C15</f>
        <v/>
      </c>
      <c r="F25" s="19">
        <f>'Top Ranked Jobs'!K15</f>
        <v/>
      </c>
      <c r="G25" s="20">
        <f>'Top Ranked Jobs'!L15</f>
        <v/>
      </c>
      <c r="H25" s="19">
        <f>'Top Ranked Jobs'!M15</f>
        <v/>
      </c>
      <c r="I25" s="21" t="inlineStr">
        <is>
          <t>Apply ▸</t>
        </is>
      </c>
      <c r="J25" s="1" t="n"/>
      <c r="K25" s="1" t="n"/>
      <c r="L25" s="1" t="n"/>
      <c r="M25" s="1" t="n"/>
      <c r="N25" s="1" t="n"/>
      <c r="O25" s="1" t="n"/>
    </row>
    <row r="26" ht="22" customHeight="1">
      <c r="A26" s="1" t="n"/>
      <c r="B26" s="22" t="n">
        <v>10</v>
      </c>
      <c r="C26" s="23">
        <f>'Top Ranked Jobs'!D16</f>
        <v/>
      </c>
      <c r="D26" s="23">
        <f>'Top Ranked Jobs'!E16</f>
        <v/>
      </c>
      <c r="E26" s="22">
        <f>'Top Ranked Jobs'!C16</f>
        <v/>
      </c>
      <c r="F26" s="24">
        <f>'Top Ranked Jobs'!K16</f>
        <v/>
      </c>
      <c r="G26" s="25">
        <f>'Top Ranked Jobs'!L16</f>
        <v/>
      </c>
      <c r="H26" s="24">
        <f>'Top Ranked Jobs'!M16</f>
        <v/>
      </c>
      <c r="I26" s="26" t="inlineStr">
        <is>
          <t>Apply ▸</t>
        </is>
      </c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</sheetData>
  <mergeCells count="13">
    <mergeCell ref="B6:E6"/>
    <mergeCell ref="B12:E13"/>
    <mergeCell ref="F11:I11"/>
    <mergeCell ref="J11:M11"/>
    <mergeCell ref="F12:I13"/>
    <mergeCell ref="B11:E11"/>
    <mergeCell ref="J6:M6"/>
    <mergeCell ref="B7:E8"/>
    <mergeCell ref="J12:M13"/>
    <mergeCell ref="F7:I8"/>
    <mergeCell ref="B2:N2"/>
    <mergeCell ref="J7:M8"/>
    <mergeCell ref="F6:I6"/>
  </mergeCells>
  <conditionalFormatting sqref="H17:H26">
    <cfRule type="dataBar" priority="1">
      <dataBar showValue="1">
        <cfvo type="min"/>
        <cfvo type="max"/>
        <color rgb="0020808D"/>
      </dataBar>
    </cfRule>
  </conditionalFormatting>
  <conditionalFormatting sqref="G17:G26">
    <cfRule type="dataBar" priority="2">
      <dataBar showValue="1">
        <cfvo type="min"/>
        <cfvo type="max"/>
        <color rgb="00BCE2E7"/>
      </dataBar>
    </cfRule>
  </conditionalFormatting>
  <hyperlinks>
    <hyperlink xmlns:r="http://schemas.openxmlformats.org/officeDocument/2006/relationships" ref="I17" r:id="rId1"/>
    <hyperlink xmlns:r="http://schemas.openxmlformats.org/officeDocument/2006/relationships" ref="I18" r:id="rId2"/>
    <hyperlink xmlns:r="http://schemas.openxmlformats.org/officeDocument/2006/relationships" ref="I19" r:id="rId3"/>
    <hyperlink xmlns:r="http://schemas.openxmlformats.org/officeDocument/2006/relationships" ref="I20" r:id="rId4"/>
    <hyperlink xmlns:r="http://schemas.openxmlformats.org/officeDocument/2006/relationships" ref="I21" r:id="rId5"/>
    <hyperlink xmlns:r="http://schemas.openxmlformats.org/officeDocument/2006/relationships" ref="I22" r:id="rId6"/>
    <hyperlink xmlns:r="http://schemas.openxmlformats.org/officeDocument/2006/relationships" ref="I23" r:id="rId7"/>
    <hyperlink xmlns:r="http://schemas.openxmlformats.org/officeDocument/2006/relationships" ref="I24" r:id="rId8"/>
    <hyperlink xmlns:r="http://schemas.openxmlformats.org/officeDocument/2006/relationships" ref="I25" r:id="rId9"/>
    <hyperlink xmlns:r="http://schemas.openxmlformats.org/officeDocument/2006/relationships" ref="I2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6" customWidth="1" min="3" max="3"/>
    <col width="22" customWidth="1" min="4" max="4"/>
    <col width="36" customWidth="1" min="5" max="5"/>
    <col width="8" customWidth="1" min="6" max="6"/>
    <col width="16" customWidth="1" min="7" max="7"/>
    <col width="22" customWidth="1" min="8" max="8"/>
    <col width="11" customWidth="1" min="9" max="9"/>
    <col width="11" customWidth="1" min="10" max="10"/>
    <col width="11" customWidth="1" min="11" max="11"/>
    <col width="7" customWidth="1" min="12" max="12"/>
    <col width="13" customWidth="1" min="13" max="13"/>
    <col width="14" customWidth="1" min="14" max="14"/>
    <col width="10" customWidth="1" min="15" max="15"/>
    <col width="11" customWidth="1" min="16" max="16"/>
    <col width="60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8" customHeight="1">
      <c r="A2" s="1" t="n"/>
      <c r="B2" s="27" t="inlineStr">
        <is>
          <t>Top Ranked Jobs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7" t="inlineStr">
        <is>
          <t>All 49 roles, sorted by tier then composite. Click Apply ▸ to open the live careers page.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7" t="inlineStr">
        <is>
          <t>Composite = Sal Mid × Fit / 10. Conditional formatting highlights the strongest leads.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36" customHeight="1">
      <c r="A6" s="1" t="n"/>
      <c r="B6" s="16" t="inlineStr">
        <is>
          <t>Rank</t>
        </is>
      </c>
      <c r="C6" s="16" t="inlineStr">
        <is>
          <t>Tier</t>
        </is>
      </c>
      <c r="D6" s="16" t="inlineStr">
        <is>
          <t>Company</t>
        </is>
      </c>
      <c r="E6" s="16" t="inlineStr">
        <is>
          <t>Title</t>
        </is>
      </c>
      <c r="F6" s="16" t="inlineStr">
        <is>
          <t>Req#</t>
        </is>
      </c>
      <c r="G6" s="16" t="inlineStr">
        <is>
          <t>Type</t>
        </is>
      </c>
      <c r="H6" s="16" t="inlineStr">
        <is>
          <t>Location</t>
        </is>
      </c>
      <c r="I6" s="16" t="inlineStr">
        <is>
          <t>Sal Low</t>
        </is>
      </c>
      <c r="J6" s="16" t="inlineStr">
        <is>
          <t>Sal High</t>
        </is>
      </c>
      <c r="K6" s="16" t="inlineStr">
        <is>
          <t>Sal Mid</t>
        </is>
      </c>
      <c r="L6" s="16" t="inlineStr">
        <is>
          <t>Fit</t>
        </is>
      </c>
      <c r="M6" s="16" t="inlineStr">
        <is>
          <t>Composite</t>
        </is>
      </c>
      <c r="N6" s="16" t="inlineStr">
        <is>
          <t>Sal as posted</t>
        </is>
      </c>
      <c r="O6" s="16" t="inlineStr">
        <is>
          <t>Posted</t>
        </is>
      </c>
      <c r="P6" s="16" t="inlineStr">
        <is>
          <t>Apply</t>
        </is>
      </c>
      <c r="Q6" s="16" t="inlineStr">
        <is>
          <t>Why ranked here</t>
        </is>
      </c>
      <c r="R6" s="1" t="n"/>
    </row>
    <row r="7" ht="78" customHeight="1">
      <c r="A7" s="1" t="n"/>
      <c r="B7" s="17" t="n">
        <v>1</v>
      </c>
      <c r="C7" s="28" t="n">
        <v>1</v>
      </c>
      <c r="D7" s="29" t="inlineStr">
        <is>
          <t>JPMorgan Chase</t>
        </is>
      </c>
      <c r="E7" s="30" t="inlineStr">
        <is>
          <t>Executive Director, AI/ML Audit</t>
        </is>
      </c>
      <c r="F7" s="17" t="inlineStr">
        <is>
          <t>—</t>
        </is>
      </c>
      <c r="G7" s="30" t="inlineStr">
        <is>
          <t>G-SIB Bank</t>
        </is>
      </c>
      <c r="H7" s="30" t="inlineStr">
        <is>
          <t>Jersey City, NJ / NYC</t>
        </is>
      </c>
      <c r="I7" s="19" t="n">
        <v>250000</v>
      </c>
      <c r="J7" s="19" t="n">
        <v>350000</v>
      </c>
      <c r="K7" s="19">
        <f>(I7+J7)/2</f>
        <v/>
      </c>
      <c r="L7" s="31" t="n">
        <v>9.5</v>
      </c>
      <c r="M7" s="19">
        <f>K7*L7/10</f>
        <v/>
      </c>
      <c r="N7" s="32" t="inlineStr">
        <is>
          <t>$250K–$350K</t>
        </is>
      </c>
      <c r="O7" s="17" t="inlineStr">
        <is>
          <t>May 2026</t>
        </is>
      </c>
      <c r="P7" s="21" t="inlineStr">
        <is>
          <t>Apply ▸</t>
        </is>
      </c>
      <c r="Q7" s="30" t="inlineStr">
        <is>
          <t>Boomerang to JPM where Yasir already led CCAR + RRP for $2.6T balance sheet. Title bump to ED is overdue and the AI audit lane is brand new.</t>
        </is>
      </c>
      <c r="R7" s="1" t="n"/>
    </row>
    <row r="8" ht="78" customHeight="1">
      <c r="A8" s="1" t="n"/>
      <c r="B8" s="22" t="n">
        <v>2</v>
      </c>
      <c r="C8" s="28" t="n">
        <v>1</v>
      </c>
      <c r="D8" s="33" t="inlineStr">
        <is>
          <t>BNY</t>
        </is>
      </c>
      <c r="E8" s="34" t="inlineStr">
        <is>
          <t>Managing Director, AI Governance Audit</t>
        </is>
      </c>
      <c r="F8" s="22" t="inlineStr">
        <is>
          <t>—</t>
        </is>
      </c>
      <c r="G8" s="34" t="inlineStr">
        <is>
          <t>G-SIB Bank</t>
        </is>
      </c>
      <c r="H8" s="34" t="inlineStr">
        <is>
          <t>New York, NY</t>
        </is>
      </c>
      <c r="I8" s="24" t="n">
        <v>230000</v>
      </c>
      <c r="J8" s="24" t="n">
        <v>330000</v>
      </c>
      <c r="K8" s="24">
        <f>(I8+J8)/2</f>
        <v/>
      </c>
      <c r="L8" s="35" t="n">
        <v>9.199999999999999</v>
      </c>
      <c r="M8" s="24">
        <f>K8*L8/10</f>
        <v/>
      </c>
      <c r="N8" s="36" t="inlineStr">
        <is>
          <t>$230K–$330K</t>
        </is>
      </c>
      <c r="O8" s="22" t="inlineStr">
        <is>
          <t>May 2026</t>
        </is>
      </c>
      <c r="P8" s="26" t="inlineStr">
        <is>
          <t>Apply ▸</t>
        </is>
      </c>
      <c r="Q8" s="34" t="inlineStr">
        <is>
          <t>Custody bank tackling AI agent risk on settlement workflows. MD level, NYC commutable, and BNY is publicly hiring across AI risk teams.</t>
        </is>
      </c>
      <c r="R8" s="1" t="n"/>
    </row>
    <row r="9" ht="78" customHeight="1">
      <c r="A9" s="1" t="n"/>
      <c r="B9" s="17" t="n">
        <v>3</v>
      </c>
      <c r="C9" s="28" t="n">
        <v>1</v>
      </c>
      <c r="D9" s="29" t="inlineStr">
        <is>
          <t>Bristol Myers Squibb</t>
        </is>
      </c>
      <c r="E9" s="30" t="inlineStr">
        <is>
          <t>Executive Director, Internal Audit</t>
        </is>
      </c>
      <c r="F9" s="17" t="inlineStr">
        <is>
          <t>—</t>
        </is>
      </c>
      <c r="G9" s="30" t="inlineStr">
        <is>
          <t>Corporate Pharma</t>
        </is>
      </c>
      <c r="H9" s="30" t="inlineStr">
        <is>
          <t>Princeton, NJ</t>
        </is>
      </c>
      <c r="I9" s="19" t="n">
        <v>220000</v>
      </c>
      <c r="J9" s="19" t="n">
        <v>310000</v>
      </c>
      <c r="K9" s="19">
        <f>(I9+J9)/2</f>
        <v/>
      </c>
      <c r="L9" s="31" t="n">
        <v>9.4</v>
      </c>
      <c r="M9" s="19">
        <f>K9*L9/10</f>
        <v/>
      </c>
      <c r="N9" s="32" t="inlineStr">
        <is>
          <t>$220K–$310K</t>
        </is>
      </c>
      <c r="O9" s="17" t="inlineStr">
        <is>
          <t>Apr 2026</t>
        </is>
      </c>
      <c r="P9" s="21" t="inlineStr">
        <is>
          <t>Apply ▸</t>
        </is>
      </c>
      <c r="Q9" s="30" t="inlineStr">
        <is>
          <t>Princeton commute, Big Pharma scale, ED title with global remit. Audit + AI controls increasingly central to BMS post-Celgene integration.</t>
        </is>
      </c>
      <c r="R9" s="1" t="n"/>
    </row>
    <row r="10" ht="78" customHeight="1">
      <c r="A10" s="1" t="n"/>
      <c r="B10" s="22" t="n">
        <v>4</v>
      </c>
      <c r="C10" s="28" t="n">
        <v>1</v>
      </c>
      <c r="D10" s="33" t="inlineStr">
        <is>
          <t>Morgan Stanley</t>
        </is>
      </c>
      <c r="E10" s="34" t="inlineStr">
        <is>
          <t>Executive Director, Technology &amp; AI Audit</t>
        </is>
      </c>
      <c r="F10" s="22" t="inlineStr">
        <is>
          <t>—</t>
        </is>
      </c>
      <c r="G10" s="34" t="inlineStr">
        <is>
          <t>G-SIB Bank</t>
        </is>
      </c>
      <c r="H10" s="34" t="inlineStr">
        <is>
          <t>New York, NY</t>
        </is>
      </c>
      <c r="I10" s="24" t="n">
        <v>220000</v>
      </c>
      <c r="J10" s="24" t="n">
        <v>320000</v>
      </c>
      <c r="K10" s="24">
        <f>(I10+J10)/2</f>
        <v/>
      </c>
      <c r="L10" s="35" t="n">
        <v>9</v>
      </c>
      <c r="M10" s="24">
        <f>K10*L10/10</f>
        <v/>
      </c>
      <c r="N10" s="36" t="inlineStr">
        <is>
          <t>$220K–$320K</t>
        </is>
      </c>
      <c r="O10" s="22" t="inlineStr">
        <is>
          <t>May 2026</t>
        </is>
      </c>
      <c r="P10" s="26" t="inlineStr">
        <is>
          <t>Apply ▸</t>
        </is>
      </c>
      <c r="Q10" s="34" t="inlineStr">
        <is>
          <t>Wealth + IBD AI assurance scope. Yasir's SR 11-7 + GenAI controls framework experience plugs directly into MS's expanding tech audit footprint.</t>
        </is>
      </c>
      <c r="R10" s="1" t="n"/>
    </row>
    <row r="11" ht="78" customHeight="1">
      <c r="A11" s="1" t="n"/>
      <c r="B11" s="17" t="n">
        <v>5</v>
      </c>
      <c r="C11" s="28" t="n">
        <v>1</v>
      </c>
      <c r="D11" s="29" t="inlineStr">
        <is>
          <t>Goldman Sachs</t>
        </is>
      </c>
      <c r="E11" s="30" t="inlineStr">
        <is>
          <t>VP, AI Governance &amp; Model Risk Audit</t>
        </is>
      </c>
      <c r="F11" s="17" t="inlineStr">
        <is>
          <t>—</t>
        </is>
      </c>
      <c r="G11" s="30" t="inlineStr">
        <is>
          <t>G-SIB Bank</t>
        </is>
      </c>
      <c r="H11" s="30" t="inlineStr">
        <is>
          <t>New York, NY</t>
        </is>
      </c>
      <c r="I11" s="19" t="n">
        <v>220000</v>
      </c>
      <c r="J11" s="19" t="n">
        <v>310000</v>
      </c>
      <c r="K11" s="19">
        <f>(I11+J11)/2</f>
        <v/>
      </c>
      <c r="L11" s="31" t="n">
        <v>9</v>
      </c>
      <c r="M11" s="19">
        <f>K11*L11/10</f>
        <v/>
      </c>
      <c r="N11" s="32" t="inlineStr">
        <is>
          <t>$220K–$310K</t>
        </is>
      </c>
      <c r="O11" s="17" t="inlineStr">
        <is>
          <t>Apr 2026</t>
        </is>
      </c>
      <c r="P11" s="21" t="inlineStr">
        <is>
          <t>Apply ▸</t>
        </is>
      </c>
      <c r="Q11" s="30" t="inlineStr">
        <is>
          <t>GS Internal Audit has the most mature AI assurance program on the Street. VP at GS pays at JPM ED equivalent.</t>
        </is>
      </c>
      <c r="R11" s="1" t="n"/>
    </row>
    <row r="12" ht="78" customHeight="1">
      <c r="A12" s="1" t="n"/>
      <c r="B12" s="22" t="n">
        <v>6</v>
      </c>
      <c r="C12" s="28" t="n">
        <v>1</v>
      </c>
      <c r="D12" s="33" t="inlineStr">
        <is>
          <t>Prudential Financial</t>
        </is>
      </c>
      <c r="E12" s="34" t="inlineStr">
        <is>
          <t>VP, Internal Audit — AI &amp; Model Risk</t>
        </is>
      </c>
      <c r="F12" s="22" t="inlineStr">
        <is>
          <t>—</t>
        </is>
      </c>
      <c r="G12" s="34" t="inlineStr">
        <is>
          <t>Corporate</t>
        </is>
      </c>
      <c r="H12" s="34" t="inlineStr">
        <is>
          <t>Newark, NJ</t>
        </is>
      </c>
      <c r="I12" s="24" t="n">
        <v>200000</v>
      </c>
      <c r="J12" s="24" t="n">
        <v>290000</v>
      </c>
      <c r="K12" s="24">
        <f>(I12+J12)/2</f>
        <v/>
      </c>
      <c r="L12" s="35" t="n">
        <v>9.6</v>
      </c>
      <c r="M12" s="24">
        <f>K12*L12/10</f>
        <v/>
      </c>
      <c r="N12" s="36" t="inlineStr">
        <is>
          <t>$200K–$290K</t>
        </is>
      </c>
      <c r="O12" s="22" t="inlineStr">
        <is>
          <t>May 2026</t>
        </is>
      </c>
      <c r="P12" s="26" t="inlineStr">
        <is>
          <t>Apply ▸</t>
        </is>
      </c>
      <c r="Q12" s="34" t="inlineStr">
        <is>
          <t>Newark HQ, exact AI+model-risk audit mandate, VP/Director scope mirrors Yasir's Citi role. Highest geographic and domain fit on the board.</t>
        </is>
      </c>
      <c r="R12" s="1" t="n"/>
    </row>
    <row r="13" ht="78" customHeight="1">
      <c r="A13" s="1" t="n"/>
      <c r="B13" s="17" t="n">
        <v>7</v>
      </c>
      <c r="C13" s="28" t="n">
        <v>1</v>
      </c>
      <c r="D13" s="29" t="inlineStr">
        <is>
          <t>Johnson &amp; Johnson</t>
        </is>
      </c>
      <c r="E13" s="30" t="inlineStr">
        <is>
          <t>Senior Director, Internal Audit — AI &amp; Digital</t>
        </is>
      </c>
      <c r="F13" s="17" t="inlineStr">
        <is>
          <t>—</t>
        </is>
      </c>
      <c r="G13" s="30" t="inlineStr">
        <is>
          <t>Corporate Pharma</t>
        </is>
      </c>
      <c r="H13" s="30" t="inlineStr">
        <is>
          <t>New Brunswick, NJ</t>
        </is>
      </c>
      <c r="I13" s="19" t="n">
        <v>200000</v>
      </c>
      <c r="J13" s="19" t="n">
        <v>280000</v>
      </c>
      <c r="K13" s="19">
        <f>(I13+J13)/2</f>
        <v/>
      </c>
      <c r="L13" s="31" t="n">
        <v>9.199999999999999</v>
      </c>
      <c r="M13" s="19">
        <f>K13*L13/10</f>
        <v/>
      </c>
      <c r="N13" s="32" t="inlineStr">
        <is>
          <t>$200K–$280K</t>
        </is>
      </c>
      <c r="O13" s="17" t="inlineStr">
        <is>
          <t>Apr 2026</t>
        </is>
      </c>
      <c r="P13" s="21" t="inlineStr">
        <is>
          <t>Apply ▸</t>
        </is>
      </c>
      <c r="Q13" s="30" t="inlineStr">
        <is>
          <t>Newark train to New Brunswick, J&amp;J's Tech &amp; Data audit team is the strongest in NJ pharma. Sr Director maps to MD-equivalent.</t>
        </is>
      </c>
      <c r="R13" s="1" t="n"/>
    </row>
    <row r="14" ht="78" customHeight="1">
      <c r="A14" s="1" t="n"/>
      <c r="B14" s="22" t="n">
        <v>8</v>
      </c>
      <c r="C14" s="28" t="n">
        <v>1</v>
      </c>
      <c r="D14" s="33" t="inlineStr">
        <is>
          <t>Citi</t>
        </is>
      </c>
      <c r="E14" s="34" t="inlineStr">
        <is>
          <t>Director, AI Audit (return engagement)</t>
        </is>
      </c>
      <c r="F14" s="22" t="inlineStr">
        <is>
          <t>—</t>
        </is>
      </c>
      <c r="G14" s="34" t="inlineStr">
        <is>
          <t>G-SIB Bank</t>
        </is>
      </c>
      <c r="H14" s="34" t="inlineStr">
        <is>
          <t>New York, NY</t>
        </is>
      </c>
      <c r="I14" s="24" t="n">
        <v>200000</v>
      </c>
      <c r="J14" s="24" t="n">
        <v>290000</v>
      </c>
      <c r="K14" s="24">
        <f>(I14+J14)/2</f>
        <v/>
      </c>
      <c r="L14" s="35" t="n">
        <v>9</v>
      </c>
      <c r="M14" s="24">
        <f>K14*L14/10</f>
        <v/>
      </c>
      <c r="N14" s="36" t="inlineStr">
        <is>
          <t>$200K–$290K</t>
        </is>
      </c>
      <c r="O14" s="22" t="inlineStr">
        <is>
          <t>May 2026</t>
        </is>
      </c>
      <c r="P14" s="26" t="inlineStr">
        <is>
          <t>Apply ▸</t>
        </is>
      </c>
      <c r="Q14" s="34" t="inlineStr">
        <is>
          <t>Boomerang. Citi consent-order audit work + AI governance fluency makes Yasir a known quantity. Keep warm — internal mobility is the cleanest re-entry.</t>
        </is>
      </c>
      <c r="R14" s="1" t="n"/>
    </row>
    <row r="15" ht="78" customHeight="1">
      <c r="A15" s="1" t="n"/>
      <c r="B15" s="17" t="n">
        <v>9</v>
      </c>
      <c r="C15" s="28" t="n">
        <v>1</v>
      </c>
      <c r="D15" s="29" t="inlineStr">
        <is>
          <t>Merck</t>
        </is>
      </c>
      <c r="E15" s="30" t="inlineStr">
        <is>
          <t>Director, Internal Audit — Technology &amp; AI</t>
        </is>
      </c>
      <c r="F15" s="17" t="inlineStr">
        <is>
          <t>—</t>
        </is>
      </c>
      <c r="G15" s="30" t="inlineStr">
        <is>
          <t>Corporate Pharma</t>
        </is>
      </c>
      <c r="H15" s="30" t="inlineStr">
        <is>
          <t>Rahway, NJ</t>
        </is>
      </c>
      <c r="I15" s="19" t="n">
        <v>185000</v>
      </c>
      <c r="J15" s="19" t="n">
        <v>260000</v>
      </c>
      <c r="K15" s="19">
        <f>(I15+J15)/2</f>
        <v/>
      </c>
      <c r="L15" s="31" t="n">
        <v>9.1</v>
      </c>
      <c r="M15" s="19">
        <f>K15*L15/10</f>
        <v/>
      </c>
      <c r="N15" s="32" t="inlineStr">
        <is>
          <t>$185K–$260K</t>
        </is>
      </c>
      <c r="O15" s="17" t="inlineStr">
        <is>
          <t>Apr 2026</t>
        </is>
      </c>
      <c r="P15" s="21" t="inlineStr">
        <is>
          <t>Apply ▸</t>
        </is>
      </c>
      <c r="Q15" s="30" t="inlineStr">
        <is>
          <t>Rahway HQ, 30 min from Newark. Merck has standing AI/ML audit team and is hiring continuously across IT and data audit.</t>
        </is>
      </c>
      <c r="R15" s="1" t="n"/>
    </row>
    <row r="16" ht="78" customHeight="1">
      <c r="A16" s="1" t="n"/>
      <c r="B16" s="22" t="n">
        <v>10</v>
      </c>
      <c r="C16" s="37" t="n">
        <v>2</v>
      </c>
      <c r="D16" s="33" t="inlineStr">
        <is>
          <t>Wells Fargo</t>
        </is>
      </c>
      <c r="E16" s="34" t="inlineStr">
        <is>
          <t>SVP, AI Risk Oversight (3LOD audit)</t>
        </is>
      </c>
      <c r="F16" s="22" t="inlineStr">
        <is>
          <t>—</t>
        </is>
      </c>
      <c r="G16" s="34" t="inlineStr">
        <is>
          <t>G-SIB Bank</t>
        </is>
      </c>
      <c r="H16" s="34" t="inlineStr">
        <is>
          <t>New York, NY</t>
        </is>
      </c>
      <c r="I16" s="24" t="n">
        <v>190000</v>
      </c>
      <c r="J16" s="24" t="n">
        <v>260000</v>
      </c>
      <c r="K16" s="24">
        <f>(I16+J16)/2</f>
        <v/>
      </c>
      <c r="L16" s="35" t="n">
        <v>8.4</v>
      </c>
      <c r="M16" s="24">
        <f>K16*L16/10</f>
        <v/>
      </c>
      <c r="N16" s="36" t="inlineStr">
        <is>
          <t>$190K–$260K</t>
        </is>
      </c>
      <c r="O16" s="22" t="inlineStr">
        <is>
          <t>Apr 2026</t>
        </is>
      </c>
      <c r="P16" s="26" t="inlineStr">
        <is>
          <t>Apply ▸</t>
        </is>
      </c>
      <c r="Q16" s="34" t="inlineStr">
        <is>
          <t>WFC post-consent-order build-out continues. Yasir's Citi consent-order experience is a near-perfect signal.</t>
        </is>
      </c>
      <c r="R16" s="1" t="n"/>
    </row>
    <row r="17" ht="78" customHeight="1">
      <c r="A17" s="1" t="n"/>
      <c r="B17" s="17" t="n">
        <v>11</v>
      </c>
      <c r="C17" s="37" t="n">
        <v>2</v>
      </c>
      <c r="D17" s="29" t="inlineStr">
        <is>
          <t>PwC</t>
        </is>
      </c>
      <c r="E17" s="30" t="inlineStr">
        <is>
          <t>Director, Risk Assurance — AI &amp; Model Risk</t>
        </is>
      </c>
      <c r="F17" s="17" t="inlineStr">
        <is>
          <t>—</t>
        </is>
      </c>
      <c r="G17" s="30" t="inlineStr">
        <is>
          <t>Big 4 Consulting</t>
        </is>
      </c>
      <c r="H17" s="30" t="inlineStr">
        <is>
          <t>Florham Park, NJ</t>
        </is>
      </c>
      <c r="I17" s="19" t="n">
        <v>180000</v>
      </c>
      <c r="J17" s="19" t="n">
        <v>260000</v>
      </c>
      <c r="K17" s="19">
        <f>(I17+J17)/2</f>
        <v/>
      </c>
      <c r="L17" s="31" t="n">
        <v>8.300000000000001</v>
      </c>
      <c r="M17" s="19">
        <f>K17*L17/10</f>
        <v/>
      </c>
      <c r="N17" s="32" t="inlineStr">
        <is>
          <t>$180K–$260K</t>
        </is>
      </c>
      <c r="O17" s="17" t="inlineStr">
        <is>
          <t>Apr 2026</t>
        </is>
      </c>
      <c r="P17" s="21" t="inlineStr">
        <is>
          <t>Apply ▸</t>
        </is>
      </c>
      <c r="Q17" s="30" t="inlineStr">
        <is>
          <t>Florham Park is a 35-min commute. PwC AI Risk practice is hiring aggressively; Yasir's DBA research is a marketing asset for the practice.</t>
        </is>
      </c>
      <c r="R17" s="1" t="n"/>
    </row>
    <row r="18" ht="78" customHeight="1">
      <c r="A18" s="1" t="n"/>
      <c r="B18" s="22" t="n">
        <v>12</v>
      </c>
      <c r="C18" s="37" t="n">
        <v>2</v>
      </c>
      <c r="D18" s="33" t="inlineStr">
        <is>
          <t>BioNTech US</t>
        </is>
      </c>
      <c r="E18" s="34" t="inlineStr">
        <is>
          <t>Senior Director, Internal Audit</t>
        </is>
      </c>
      <c r="F18" s="22" t="inlineStr">
        <is>
          <t>—</t>
        </is>
      </c>
      <c r="G18" s="34" t="inlineStr">
        <is>
          <t>Biotech</t>
        </is>
      </c>
      <c r="H18" s="34" t="inlineStr">
        <is>
          <t>Berkeley Heights, NJ</t>
        </is>
      </c>
      <c r="I18" s="24" t="n">
        <v>185000</v>
      </c>
      <c r="J18" s="24" t="n">
        <v>260000</v>
      </c>
      <c r="K18" s="24">
        <f>(I18+J18)/2</f>
        <v/>
      </c>
      <c r="L18" s="35" t="n">
        <v>8</v>
      </c>
      <c r="M18" s="24">
        <f>K18*L18/10</f>
        <v/>
      </c>
      <c r="N18" s="36" t="inlineStr">
        <is>
          <t>$185K–$260K</t>
        </is>
      </c>
      <c r="O18" s="22" t="inlineStr">
        <is>
          <t>Mar 2026</t>
        </is>
      </c>
      <c r="P18" s="26" t="inlineStr">
        <is>
          <t>Apply ▸</t>
        </is>
      </c>
      <c r="Q18" s="34" t="inlineStr">
        <is>
          <t>Building US internal audit from scratch — Yasir's program-build experience at Citi consent-order work is the differentiator.</t>
        </is>
      </c>
      <c r="R18" s="1" t="n"/>
    </row>
    <row r="19" ht="78" customHeight="1">
      <c r="A19" s="1" t="n"/>
      <c r="B19" s="17" t="n">
        <v>13</v>
      </c>
      <c r="C19" s="37" t="n">
        <v>2</v>
      </c>
      <c r="D19" s="29" t="inlineStr">
        <is>
          <t>Insmed</t>
        </is>
      </c>
      <c r="E19" s="30" t="inlineStr">
        <is>
          <t>Director, Internal Audit</t>
        </is>
      </c>
      <c r="F19" s="17" t="inlineStr">
        <is>
          <t>—</t>
        </is>
      </c>
      <c r="G19" s="30" t="inlineStr">
        <is>
          <t>Biotech</t>
        </is>
      </c>
      <c r="H19" s="30" t="inlineStr">
        <is>
          <t>Bridgewater, NJ</t>
        </is>
      </c>
      <c r="I19" s="19" t="n">
        <v>175000</v>
      </c>
      <c r="J19" s="19" t="n">
        <v>245000</v>
      </c>
      <c r="K19" s="19">
        <f>(I19+J19)/2</f>
        <v/>
      </c>
      <c r="L19" s="31" t="n">
        <v>8.1</v>
      </c>
      <c r="M19" s="19">
        <f>K19*L19/10</f>
        <v/>
      </c>
      <c r="N19" s="32" t="inlineStr">
        <is>
          <t>$175K–$245K</t>
        </is>
      </c>
      <c r="O19" s="17" t="inlineStr">
        <is>
          <t>Apr 2026</t>
        </is>
      </c>
      <c r="P19" s="21" t="inlineStr">
        <is>
          <t>Apply ▸</t>
        </is>
      </c>
      <c r="Q19" s="30" t="inlineStr">
        <is>
          <t>Mid-cap biotech IPO graduate; small audit team means strategic visibility. Bridgewater commute is 45 min from Newark.</t>
        </is>
      </c>
      <c r="R19" s="1" t="n"/>
    </row>
    <row r="20" ht="78" customHeight="1">
      <c r="A20" s="1" t="n"/>
      <c r="B20" s="22" t="n">
        <v>14</v>
      </c>
      <c r="C20" s="37" t="n">
        <v>2</v>
      </c>
      <c r="D20" s="33" t="inlineStr">
        <is>
          <t>ADP</t>
        </is>
      </c>
      <c r="E20" s="34" t="inlineStr">
        <is>
          <t>VP, Internal Audit</t>
        </is>
      </c>
      <c r="F20" s="22" t="inlineStr">
        <is>
          <t>—</t>
        </is>
      </c>
      <c r="G20" s="34" t="inlineStr">
        <is>
          <t>Corporate FinTech</t>
        </is>
      </c>
      <c r="H20" s="34" t="inlineStr">
        <is>
          <t>Roseland, NJ</t>
        </is>
      </c>
      <c r="I20" s="24" t="n">
        <v>180000</v>
      </c>
      <c r="J20" s="24" t="n">
        <v>250000</v>
      </c>
      <c r="K20" s="24">
        <f>(I20+J20)/2</f>
        <v/>
      </c>
      <c r="L20" s="35" t="n">
        <v>7.9</v>
      </c>
      <c r="M20" s="24">
        <f>K20*L20/10</f>
        <v/>
      </c>
      <c r="N20" s="36" t="inlineStr">
        <is>
          <t>$180K–$250K</t>
        </is>
      </c>
      <c r="O20" s="22" t="inlineStr">
        <is>
          <t>Apr 2026</t>
        </is>
      </c>
      <c r="P20" s="26" t="inlineStr">
        <is>
          <t>Apply ▸</t>
        </is>
      </c>
      <c r="Q20" s="34" t="inlineStr">
        <is>
          <t>Roseland commute, FinTech payroll giant with serious AI/ML investment. ADP IA pays competitively for NJ corporate.</t>
        </is>
      </c>
      <c r="R20" s="1" t="n"/>
    </row>
    <row r="21" ht="78" customHeight="1">
      <c r="A21" s="1" t="n"/>
      <c r="B21" s="17" t="n">
        <v>15</v>
      </c>
      <c r="C21" s="37" t="n">
        <v>2</v>
      </c>
      <c r="D21" s="29" t="inlineStr">
        <is>
          <t>BD (Becton Dickinson)</t>
        </is>
      </c>
      <c r="E21" s="30" t="inlineStr">
        <is>
          <t>Director, IT Audit &amp; AI Risk</t>
        </is>
      </c>
      <c r="F21" s="17" t="inlineStr">
        <is>
          <t>—</t>
        </is>
      </c>
      <c r="G21" s="30" t="inlineStr">
        <is>
          <t>Medtech</t>
        </is>
      </c>
      <c r="H21" s="30" t="inlineStr">
        <is>
          <t>Franklin Lakes, NJ</t>
        </is>
      </c>
      <c r="I21" s="19" t="n">
        <v>170000</v>
      </c>
      <c r="J21" s="19" t="n">
        <v>235000</v>
      </c>
      <c r="K21" s="19">
        <f>(I21+J21)/2</f>
        <v/>
      </c>
      <c r="L21" s="31" t="n">
        <v>8.199999999999999</v>
      </c>
      <c r="M21" s="19">
        <f>K21*L21/10</f>
        <v/>
      </c>
      <c r="N21" s="32" t="inlineStr">
        <is>
          <t>$170K–$235K</t>
        </is>
      </c>
      <c r="O21" s="17" t="inlineStr">
        <is>
          <t>Apr 2026</t>
        </is>
      </c>
      <c r="P21" s="21" t="inlineStr">
        <is>
          <t>Apply ▸</t>
        </is>
      </c>
      <c r="Q21" s="30" t="inlineStr">
        <is>
          <t>Franklin Lakes HQ; medtech regulatory rigor maps to Yasir's pharma-style audit instincts. IT audit + AI is BD's growth area.</t>
        </is>
      </c>
      <c r="R21" s="1" t="n"/>
    </row>
    <row r="22" ht="78" customHeight="1">
      <c r="A22" s="1" t="n"/>
      <c r="B22" s="22" t="n">
        <v>16</v>
      </c>
      <c r="C22" s="37" t="n">
        <v>2</v>
      </c>
      <c r="D22" s="33" t="inlineStr">
        <is>
          <t>Barclays</t>
        </is>
      </c>
      <c r="E22" s="34" t="inlineStr">
        <is>
          <t>Director, Internal Audit</t>
        </is>
      </c>
      <c r="F22" s="22" t="inlineStr">
        <is>
          <t>—</t>
        </is>
      </c>
      <c r="G22" s="34" t="inlineStr">
        <is>
          <t>Bank</t>
        </is>
      </c>
      <c r="H22" s="34" t="inlineStr">
        <is>
          <t>Whippany, NJ</t>
        </is>
      </c>
      <c r="I22" s="24" t="n">
        <v>170000</v>
      </c>
      <c r="J22" s="24" t="n">
        <v>230000</v>
      </c>
      <c r="K22" s="24">
        <f>(I22+J22)/2</f>
        <v/>
      </c>
      <c r="L22" s="35" t="n">
        <v>8.199999999999999</v>
      </c>
      <c r="M22" s="24">
        <f>K22*L22/10</f>
        <v/>
      </c>
      <c r="N22" s="36" t="inlineStr">
        <is>
          <t>$170K–$230K</t>
        </is>
      </c>
      <c r="O22" s="22" t="inlineStr">
        <is>
          <t>Apr 2026</t>
        </is>
      </c>
      <c r="P22" s="26" t="inlineStr">
        <is>
          <t>Apply ▸</t>
        </is>
      </c>
      <c r="Q22" s="34" t="inlineStr">
        <is>
          <t>Whippany is a true NJ campus, no NYC commute. Barclays IA has a standing AI risk audit team.</t>
        </is>
      </c>
      <c r="R22" s="1" t="n"/>
    </row>
    <row r="23" ht="78" customHeight="1">
      <c r="A23" s="1" t="n"/>
      <c r="B23" s="17" t="n">
        <v>17</v>
      </c>
      <c r="C23" s="37" t="n">
        <v>2</v>
      </c>
      <c r="D23" s="29" t="inlineStr">
        <is>
          <t>RSM US</t>
        </is>
      </c>
      <c r="E23" s="30" t="inlineStr">
        <is>
          <t>Director, Risk Consulting — AI Governance</t>
        </is>
      </c>
      <c r="F23" s="17" t="inlineStr">
        <is>
          <t>—</t>
        </is>
      </c>
      <c r="G23" s="30" t="inlineStr">
        <is>
          <t>Mid-Market Consulting</t>
        </is>
      </c>
      <c r="H23" s="30" t="inlineStr">
        <is>
          <t>Edison, NJ</t>
        </is>
      </c>
      <c r="I23" s="19" t="n">
        <v>175000</v>
      </c>
      <c r="J23" s="19" t="n">
        <v>245000</v>
      </c>
      <c r="K23" s="19">
        <f>(I23+J23)/2</f>
        <v/>
      </c>
      <c r="L23" s="31" t="n">
        <v>7.7</v>
      </c>
      <c r="M23" s="19">
        <f>K23*L23/10</f>
        <v/>
      </c>
      <c r="N23" s="32" t="inlineStr">
        <is>
          <t>$175K–$245K</t>
        </is>
      </c>
      <c r="O23" s="17" t="inlineStr">
        <is>
          <t>Apr 2026</t>
        </is>
      </c>
      <c r="P23" s="21" t="inlineStr">
        <is>
          <t>Apply ▸</t>
        </is>
      </c>
      <c r="Q23" s="30" t="inlineStr">
        <is>
          <t>Mid-market consulting pays director-track well. Edison office; Yasir's AI Governance Professional path makes him a billing-rate asset.</t>
        </is>
      </c>
      <c r="R23" s="1" t="n"/>
    </row>
    <row r="24" ht="78" customHeight="1">
      <c r="A24" s="1" t="n"/>
      <c r="B24" s="22" t="n">
        <v>18</v>
      </c>
      <c r="C24" s="37" t="n">
        <v>2</v>
      </c>
      <c r="D24" s="33" t="inlineStr">
        <is>
          <t>SMBC</t>
        </is>
      </c>
      <c r="E24" s="34" t="inlineStr">
        <is>
          <t>Director, Internal Audit</t>
        </is>
      </c>
      <c r="F24" s="22" t="inlineStr">
        <is>
          <t>—</t>
        </is>
      </c>
      <c r="G24" s="34" t="inlineStr">
        <is>
          <t>Bank</t>
        </is>
      </c>
      <c r="H24" s="34" t="inlineStr">
        <is>
          <t>Jersey City, NJ</t>
        </is>
      </c>
      <c r="I24" s="24" t="n">
        <v>170000</v>
      </c>
      <c r="J24" s="24" t="n">
        <v>230000</v>
      </c>
      <c r="K24" s="24">
        <f>(I24+J24)/2</f>
        <v/>
      </c>
      <c r="L24" s="35" t="n">
        <v>7.9</v>
      </c>
      <c r="M24" s="24">
        <f>K24*L24/10</f>
        <v/>
      </c>
      <c r="N24" s="36" t="inlineStr">
        <is>
          <t>$170K–$230K</t>
        </is>
      </c>
      <c r="O24" s="22" t="inlineStr">
        <is>
          <t>Mar 2026</t>
        </is>
      </c>
      <c r="P24" s="26" t="inlineStr">
        <is>
          <t>Apply ▸</t>
        </is>
      </c>
      <c r="Q24" s="34" t="inlineStr">
        <is>
          <t>Japanese megabank US arm at Newport JC tower. PATH-friendly; Yasir's Fed-examiner background plays well with foreign-bank-org oversight.</t>
        </is>
      </c>
      <c r="R24" s="1" t="n"/>
    </row>
    <row r="25" ht="78" customHeight="1">
      <c r="A25" s="1" t="n"/>
      <c r="B25" s="17" t="n">
        <v>19</v>
      </c>
      <c r="C25" s="37" t="n">
        <v>2</v>
      </c>
      <c r="D25" s="29" t="inlineStr">
        <is>
          <t>Bank of America</t>
        </is>
      </c>
      <c r="E25" s="30" t="inlineStr">
        <is>
          <t>VP, Internal Audit — Model Risk</t>
        </is>
      </c>
      <c r="F25" s="17" t="inlineStr">
        <is>
          <t>—</t>
        </is>
      </c>
      <c r="G25" s="30" t="inlineStr">
        <is>
          <t>G-SIB Bank</t>
        </is>
      </c>
      <c r="H25" s="30" t="inlineStr">
        <is>
          <t>New York, NY</t>
        </is>
      </c>
      <c r="I25" s="19" t="n">
        <v>160000</v>
      </c>
      <c r="J25" s="19" t="n">
        <v>220000</v>
      </c>
      <c r="K25" s="19">
        <f>(I25+J25)/2</f>
        <v/>
      </c>
      <c r="L25" s="31" t="n">
        <v>8.300000000000001</v>
      </c>
      <c r="M25" s="19">
        <f>K25*L25/10</f>
        <v/>
      </c>
      <c r="N25" s="32" t="inlineStr">
        <is>
          <t>$160K–$220K</t>
        </is>
      </c>
      <c r="O25" s="17" t="inlineStr">
        <is>
          <t>May 2026</t>
        </is>
      </c>
      <c r="P25" s="21" t="inlineStr">
        <is>
          <t>Apply ▸</t>
        </is>
      </c>
      <c r="Q25" s="30" t="inlineStr">
        <is>
          <t>BofA model risk audit team hires VPs continuously. Title parity with current role; Yasir's CCAR + Basel III work transfers.</t>
        </is>
      </c>
      <c r="R25" s="1" t="n"/>
    </row>
    <row r="26" ht="78" customHeight="1">
      <c r="A26" s="1" t="n"/>
      <c r="B26" s="22" t="n">
        <v>20</v>
      </c>
      <c r="C26" s="37" t="n">
        <v>2</v>
      </c>
      <c r="D26" s="33" t="inlineStr">
        <is>
          <t>Otsuka America Pharmaceutical</t>
        </is>
      </c>
      <c r="E26" s="34" t="inlineStr">
        <is>
          <t>Director, Internal Audit</t>
        </is>
      </c>
      <c r="F26" s="22" t="inlineStr">
        <is>
          <t>—</t>
        </is>
      </c>
      <c r="G26" s="34" t="inlineStr">
        <is>
          <t>Corporate Pharma</t>
        </is>
      </c>
      <c r="H26" s="34" t="inlineStr">
        <is>
          <t>Princeton, NJ</t>
        </is>
      </c>
      <c r="I26" s="24" t="n">
        <v>170000</v>
      </c>
      <c r="J26" s="24" t="n">
        <v>235000</v>
      </c>
      <c r="K26" s="24">
        <f>(I26+J26)/2</f>
        <v/>
      </c>
      <c r="L26" s="35" t="n">
        <v>7.7</v>
      </c>
      <c r="M26" s="24">
        <f>K26*L26/10</f>
        <v/>
      </c>
      <c r="N26" s="36" t="inlineStr">
        <is>
          <t>$170K–$235K</t>
        </is>
      </c>
      <c r="O26" s="22" t="inlineStr">
        <is>
          <t>Apr 2026</t>
        </is>
      </c>
      <c r="P26" s="26" t="inlineStr">
        <is>
          <t>Apply ▸</t>
        </is>
      </c>
      <c r="Q26" s="34" t="inlineStr">
        <is>
          <t>Princeton commute. Otsuka US is publicly hiring audit + compliance after a string of GxP findings.</t>
        </is>
      </c>
      <c r="R26" s="1" t="n"/>
    </row>
    <row r="27" ht="78" customHeight="1">
      <c r="A27" s="1" t="n"/>
      <c r="B27" s="17" t="n">
        <v>21</v>
      </c>
      <c r="C27" s="37" t="n">
        <v>2</v>
      </c>
      <c r="D27" s="29" t="inlineStr">
        <is>
          <t>Panasonic North America</t>
        </is>
      </c>
      <c r="E27" s="30" t="inlineStr">
        <is>
          <t>Director, Internal Audit</t>
        </is>
      </c>
      <c r="F27" s="17" t="inlineStr">
        <is>
          <t>—</t>
        </is>
      </c>
      <c r="G27" s="30" t="inlineStr">
        <is>
          <t>Corporate</t>
        </is>
      </c>
      <c r="H27" s="30" t="inlineStr">
        <is>
          <t>Newark, NJ</t>
        </is>
      </c>
      <c r="I27" s="19" t="n">
        <v>160000</v>
      </c>
      <c r="J27" s="19" t="n">
        <v>225000</v>
      </c>
      <c r="K27" s="19">
        <f>(I27+J27)/2</f>
        <v/>
      </c>
      <c r="L27" s="31" t="n">
        <v>8</v>
      </c>
      <c r="M27" s="19">
        <f>K27*L27/10</f>
        <v/>
      </c>
      <c r="N27" s="32" t="inlineStr">
        <is>
          <t>$160K–$225K</t>
        </is>
      </c>
      <c r="O27" s="17" t="inlineStr">
        <is>
          <t>Apr 2026</t>
        </is>
      </c>
      <c r="P27" s="21" t="inlineStr">
        <is>
          <t>Apply ▸</t>
        </is>
      </c>
      <c r="Q27" s="30" t="inlineStr">
        <is>
          <t>Walking distance to Newark Penn. Panasonic NA HQ is at 2 Riverfront Plaza — Yasir literally lives here.</t>
        </is>
      </c>
      <c r="R27" s="1" t="n"/>
    </row>
    <row r="28" ht="78" customHeight="1">
      <c r="A28" s="1" t="n"/>
      <c r="B28" s="22" t="n">
        <v>22</v>
      </c>
      <c r="C28" s="37" t="n">
        <v>2</v>
      </c>
      <c r="D28" s="33" t="inlineStr">
        <is>
          <t>RBC City National</t>
        </is>
      </c>
      <c r="E28" s="34" t="inlineStr">
        <is>
          <t>VP, Internal Audit</t>
        </is>
      </c>
      <c r="F28" s="22" t="inlineStr">
        <is>
          <t>—</t>
        </is>
      </c>
      <c r="G28" s="34" t="inlineStr">
        <is>
          <t>G-SIB-Adj Bank</t>
        </is>
      </c>
      <c r="H28" s="34" t="inlineStr">
        <is>
          <t>Jersey City, NJ</t>
        </is>
      </c>
      <c r="I28" s="24" t="n">
        <v>160000</v>
      </c>
      <c r="J28" s="24" t="n">
        <v>220000</v>
      </c>
      <c r="K28" s="24">
        <f>(I28+J28)/2</f>
        <v/>
      </c>
      <c r="L28" s="35" t="n">
        <v>8</v>
      </c>
      <c r="M28" s="24">
        <f>K28*L28/10</f>
        <v/>
      </c>
      <c r="N28" s="36" t="inlineStr">
        <is>
          <t>$160K–$220K</t>
        </is>
      </c>
      <c r="O28" s="22" t="inlineStr">
        <is>
          <t>May 2026</t>
        </is>
      </c>
      <c r="P28" s="26" t="inlineStr">
        <is>
          <t>Apply ▸</t>
        </is>
      </c>
      <c r="Q28" s="34" t="inlineStr">
        <is>
          <t>Jersey City office, PATH from Newark. RBC's US private bank build-out needs audit talent that can engage OCC.</t>
        </is>
      </c>
      <c r="R28" s="1" t="n"/>
    </row>
    <row r="29" ht="78" customHeight="1">
      <c r="A29" s="1" t="n"/>
      <c r="B29" s="17" t="n">
        <v>23</v>
      </c>
      <c r="C29" s="37" t="n">
        <v>2</v>
      </c>
      <c r="D29" s="29" t="inlineStr">
        <is>
          <t>Embecta</t>
        </is>
      </c>
      <c r="E29" s="30" t="inlineStr">
        <is>
          <t>Director, Internal Audit</t>
        </is>
      </c>
      <c r="F29" s="17" t="inlineStr">
        <is>
          <t>—</t>
        </is>
      </c>
      <c r="G29" s="30" t="inlineStr">
        <is>
          <t>Medtech</t>
        </is>
      </c>
      <c r="H29" s="30" t="inlineStr">
        <is>
          <t>Parsippany, NJ</t>
        </is>
      </c>
      <c r="I29" s="19" t="n">
        <v>160000</v>
      </c>
      <c r="J29" s="19" t="n">
        <v>220000</v>
      </c>
      <c r="K29" s="19">
        <f>(I29+J29)/2</f>
        <v/>
      </c>
      <c r="L29" s="31" t="n">
        <v>7.8</v>
      </c>
      <c r="M29" s="19">
        <f>K29*L29/10</f>
        <v/>
      </c>
      <c r="N29" s="32" t="inlineStr">
        <is>
          <t>$160K–$220K</t>
        </is>
      </c>
      <c r="O29" s="17" t="inlineStr">
        <is>
          <t>Mar 2026</t>
        </is>
      </c>
      <c r="P29" s="21" t="inlineStr">
        <is>
          <t>Apply ▸</t>
        </is>
      </c>
      <c r="Q29" s="30" t="inlineStr">
        <is>
          <t>Recent BD spinoff still building IA function. Parsippany is 30 min from Newark; high impact, less brand prestige.</t>
        </is>
      </c>
      <c r="R29" s="1" t="n"/>
    </row>
    <row r="30" ht="78" customHeight="1">
      <c r="A30" s="1" t="n"/>
      <c r="B30" s="22" t="n">
        <v>24</v>
      </c>
      <c r="C30" s="37" t="n">
        <v>2</v>
      </c>
      <c r="D30" s="33" t="inlineStr">
        <is>
          <t>Legend Biotech</t>
        </is>
      </c>
      <c r="E30" s="34" t="inlineStr">
        <is>
          <t>Director, Internal Audit</t>
        </is>
      </c>
      <c r="F30" s="22" t="inlineStr">
        <is>
          <t>—</t>
        </is>
      </c>
      <c r="G30" s="34" t="inlineStr">
        <is>
          <t>Biotech</t>
        </is>
      </c>
      <c r="H30" s="34" t="inlineStr">
        <is>
          <t>Somerset, NJ</t>
        </is>
      </c>
      <c r="I30" s="24" t="n">
        <v>165000</v>
      </c>
      <c r="J30" s="24" t="n">
        <v>225000</v>
      </c>
      <c r="K30" s="24">
        <f>(I30+J30)/2</f>
        <v/>
      </c>
      <c r="L30" s="35" t="n">
        <v>7.6</v>
      </c>
      <c r="M30" s="24">
        <f>K30*L30/10</f>
        <v/>
      </c>
      <c r="N30" s="36" t="inlineStr">
        <is>
          <t>$165K–$225K</t>
        </is>
      </c>
      <c r="O30" s="22" t="inlineStr">
        <is>
          <t>Mar 2026</t>
        </is>
      </c>
      <c r="P30" s="26" t="inlineStr">
        <is>
          <t>Apply ▸</t>
        </is>
      </c>
      <c r="Q30" s="34" t="inlineStr">
        <is>
          <t>CAR-T biotech with rapid commercial growth. Small IA team = high leverage. Somerset is 45 min from Newark.</t>
        </is>
      </c>
      <c r="R30" s="1" t="n"/>
    </row>
    <row r="31" ht="78" customHeight="1">
      <c r="A31" s="1" t="n"/>
      <c r="B31" s="17" t="n">
        <v>25</v>
      </c>
      <c r="C31" s="37" t="n">
        <v>2</v>
      </c>
      <c r="D31" s="29" t="inlineStr">
        <is>
          <t>TD Bank</t>
        </is>
      </c>
      <c r="E31" s="30" t="inlineStr">
        <is>
          <t>VP, Audit Manager — AI Risk</t>
        </is>
      </c>
      <c r="F31" s="17" t="inlineStr">
        <is>
          <t>—</t>
        </is>
      </c>
      <c r="G31" s="30" t="inlineStr">
        <is>
          <t>Bank</t>
        </is>
      </c>
      <c r="H31" s="30" t="inlineStr">
        <is>
          <t>Mt Laurel, NJ</t>
        </is>
      </c>
      <c r="I31" s="19" t="n">
        <v>160000</v>
      </c>
      <c r="J31" s="19" t="n">
        <v>210000</v>
      </c>
      <c r="K31" s="19">
        <f>(I31+J31)/2</f>
        <v/>
      </c>
      <c r="L31" s="31" t="n">
        <v>7.6</v>
      </c>
      <c r="M31" s="19">
        <f>K31*L31/10</f>
        <v/>
      </c>
      <c r="N31" s="32" t="inlineStr">
        <is>
          <t>$160K–$210K</t>
        </is>
      </c>
      <c r="O31" s="17" t="inlineStr">
        <is>
          <t>Mar 2026</t>
        </is>
      </c>
      <c r="P31" s="21" t="inlineStr">
        <is>
          <t>Apply ▸</t>
        </is>
      </c>
      <c r="Q31" s="30" t="inlineStr">
        <is>
          <t>South Jersey commute (90 min) is the friction. But TD's post-AML-consent-order build is the right work.</t>
        </is>
      </c>
      <c r="R31" s="1" t="n"/>
    </row>
    <row r="32" ht="78" customHeight="1">
      <c r="A32" s="1" t="n"/>
      <c r="B32" s="22" t="n">
        <v>26</v>
      </c>
      <c r="C32" s="37" t="n">
        <v>2</v>
      </c>
      <c r="D32" s="33" t="inlineStr">
        <is>
          <t>State Street</t>
        </is>
      </c>
      <c r="E32" s="34" t="inlineStr">
        <is>
          <t>VP, Audit Manager — AI Governance</t>
        </is>
      </c>
      <c r="F32" s="22" t="inlineStr">
        <is>
          <t>—</t>
        </is>
      </c>
      <c r="G32" s="34" t="inlineStr">
        <is>
          <t>G-SIB Bank</t>
        </is>
      </c>
      <c r="H32" s="34" t="inlineStr">
        <is>
          <t>New York, NY (Hybrid)</t>
        </is>
      </c>
      <c r="I32" s="24" t="n">
        <v>150000</v>
      </c>
      <c r="J32" s="24" t="n">
        <v>210000</v>
      </c>
      <c r="K32" s="24">
        <f>(I32+J32)/2</f>
        <v/>
      </c>
      <c r="L32" s="35" t="n">
        <v>7.8</v>
      </c>
      <c r="M32" s="24">
        <f>K32*L32/10</f>
        <v/>
      </c>
      <c r="N32" s="36" t="inlineStr">
        <is>
          <t>$150K–$210K</t>
        </is>
      </c>
      <c r="O32" s="22" t="inlineStr">
        <is>
          <t>Apr 2026</t>
        </is>
      </c>
      <c r="P32" s="26" t="inlineStr">
        <is>
          <t>Apply ▸</t>
        </is>
      </c>
      <c r="Q32" s="34" t="inlineStr">
        <is>
          <t>Custody + asset-services AI risk lane. Hybrid; pay band sits below the other G-SIBs but title is portable.</t>
        </is>
      </c>
      <c r="R32" s="1" t="n"/>
    </row>
    <row r="33" ht="78" customHeight="1">
      <c r="A33" s="1" t="n"/>
      <c r="B33" s="17" t="n">
        <v>27</v>
      </c>
      <c r="C33" s="38" t="n">
        <v>3</v>
      </c>
      <c r="D33" s="29" t="inlineStr">
        <is>
          <t>NRG Energy</t>
        </is>
      </c>
      <c r="E33" s="30" t="inlineStr">
        <is>
          <t>Director, Internal Audit</t>
        </is>
      </c>
      <c r="F33" s="17" t="inlineStr">
        <is>
          <t>—</t>
        </is>
      </c>
      <c r="G33" s="30" t="inlineStr">
        <is>
          <t>Energy</t>
        </is>
      </c>
      <c r="H33" s="30" t="inlineStr">
        <is>
          <t>Princeton, NJ</t>
        </is>
      </c>
      <c r="I33" s="19" t="n">
        <v>160000</v>
      </c>
      <c r="J33" s="19" t="n">
        <v>220000</v>
      </c>
      <c r="K33" s="19">
        <f>(I33+J33)/2</f>
        <v/>
      </c>
      <c r="L33" s="31" t="n">
        <v>7</v>
      </c>
      <c r="M33" s="19">
        <f>K33*L33/10</f>
        <v/>
      </c>
      <c r="N33" s="32" t="inlineStr">
        <is>
          <t>$160K–$220K</t>
        </is>
      </c>
      <c r="O33" s="17" t="inlineStr">
        <is>
          <t>Mar 2026</t>
        </is>
      </c>
      <c r="P33" s="21" t="inlineStr">
        <is>
          <t>Apply ▸</t>
        </is>
      </c>
      <c r="Q33" s="30" t="inlineStr">
        <is>
          <t>Princeton commute. Energy-sector internal audit; NRG has serious AI/ML investment in trading ops.</t>
        </is>
      </c>
      <c r="R33" s="1" t="n"/>
    </row>
    <row r="34" ht="78" customHeight="1">
      <c r="A34" s="1" t="n"/>
      <c r="B34" s="22" t="n">
        <v>28</v>
      </c>
      <c r="C34" s="38" t="n">
        <v>3</v>
      </c>
      <c r="D34" s="33" t="inlineStr">
        <is>
          <t>Avis Budget Group</t>
        </is>
      </c>
      <c r="E34" s="34" t="inlineStr">
        <is>
          <t>Director, Internal Audit</t>
        </is>
      </c>
      <c r="F34" s="22" t="inlineStr">
        <is>
          <t>—</t>
        </is>
      </c>
      <c r="G34" s="34" t="inlineStr">
        <is>
          <t>Corporate</t>
        </is>
      </c>
      <c r="H34" s="34" t="inlineStr">
        <is>
          <t>Parsippany, NJ</t>
        </is>
      </c>
      <c r="I34" s="24" t="n">
        <v>155000</v>
      </c>
      <c r="J34" s="24" t="n">
        <v>210000</v>
      </c>
      <c r="K34" s="24">
        <f>(I34+J34)/2</f>
        <v/>
      </c>
      <c r="L34" s="35" t="n">
        <v>7.2</v>
      </c>
      <c r="M34" s="24">
        <f>K34*L34/10</f>
        <v/>
      </c>
      <c r="N34" s="36" t="inlineStr">
        <is>
          <t>$155K–$210K</t>
        </is>
      </c>
      <c r="O34" s="22" t="inlineStr">
        <is>
          <t>Apr 2026</t>
        </is>
      </c>
      <c r="P34" s="26" t="inlineStr">
        <is>
          <t>Apply ▸</t>
        </is>
      </c>
      <c r="Q34" s="34" t="inlineStr">
        <is>
          <t>Parsippany HQ. Avis IA team is small but covers global ops + treasury — Yasir's Treasury/CIO experience fits.</t>
        </is>
      </c>
      <c r="R34" s="1" t="n"/>
    </row>
    <row r="35" ht="78" customHeight="1">
      <c r="A35" s="1" t="n"/>
      <c r="B35" s="17" t="n">
        <v>29</v>
      </c>
      <c r="C35" s="38" t="n">
        <v>3</v>
      </c>
      <c r="D35" s="29" t="inlineStr">
        <is>
          <t>NJIT</t>
        </is>
      </c>
      <c r="E35" s="30" t="inlineStr">
        <is>
          <t>Director, Internal Audit</t>
        </is>
      </c>
      <c r="F35" s="17" t="inlineStr">
        <is>
          <t>—</t>
        </is>
      </c>
      <c r="G35" s="30" t="inlineStr">
        <is>
          <t>Academic Admin</t>
        </is>
      </c>
      <c r="H35" s="30" t="inlineStr">
        <is>
          <t>Newark, NJ</t>
        </is>
      </c>
      <c r="I35" s="19" t="n">
        <v>140000</v>
      </c>
      <c r="J35" s="19" t="n">
        <v>185000</v>
      </c>
      <c r="K35" s="19">
        <f>(I35+J35)/2</f>
        <v/>
      </c>
      <c r="L35" s="31" t="n">
        <v>7.3</v>
      </c>
      <c r="M35" s="19">
        <f>K35*L35/10</f>
        <v/>
      </c>
      <c r="N35" s="32" t="inlineStr">
        <is>
          <t>$140K–$185K</t>
        </is>
      </c>
      <c r="O35" s="17" t="inlineStr">
        <is>
          <t>Mar 2026</t>
        </is>
      </c>
      <c r="P35" s="21" t="inlineStr">
        <is>
          <t>Apply ▸</t>
        </is>
      </c>
      <c r="Q35" s="30" t="inlineStr">
        <is>
          <t>Walk to work from downtown Newark. Higher-ed audit is steady; salary trails industry but lifestyle wins.</t>
        </is>
      </c>
      <c r="R35" s="1" t="n"/>
    </row>
    <row r="36" ht="78" customHeight="1">
      <c r="A36" s="1" t="n"/>
      <c r="B36" s="22" t="n">
        <v>30</v>
      </c>
      <c r="C36" s="38" t="n">
        <v>3</v>
      </c>
      <c r="D36" s="33" t="inlineStr">
        <is>
          <t>Princeton University</t>
        </is>
      </c>
      <c r="E36" s="34" t="inlineStr">
        <is>
          <t>Senior Auditor, Office of Audit &amp; Compliance</t>
        </is>
      </c>
      <c r="F36" s="22" t="inlineStr">
        <is>
          <t>—</t>
        </is>
      </c>
      <c r="G36" s="34" t="inlineStr">
        <is>
          <t>Academic Admin</t>
        </is>
      </c>
      <c r="H36" s="34" t="inlineStr">
        <is>
          <t>Princeton, NJ</t>
        </is>
      </c>
      <c r="I36" s="24" t="n">
        <v>135000</v>
      </c>
      <c r="J36" s="24" t="n">
        <v>180000</v>
      </c>
      <c r="K36" s="24">
        <f>(I36+J36)/2</f>
        <v/>
      </c>
      <c r="L36" s="35" t="n">
        <v>7.4</v>
      </c>
      <c r="M36" s="24">
        <f>K36*L36/10</f>
        <v/>
      </c>
      <c r="N36" s="36" t="inlineStr">
        <is>
          <t>$135K–$180K</t>
        </is>
      </c>
      <c r="O36" s="22" t="inlineStr">
        <is>
          <t>Apr 2026</t>
        </is>
      </c>
      <c r="P36" s="26" t="inlineStr">
        <is>
          <t>Apply ▸</t>
        </is>
      </c>
      <c r="Q36" s="34" t="inlineStr">
        <is>
          <t>Stable, prestige employer; Yasir's DBA program credentials are a hiring asset. Hybrid possible.</t>
        </is>
      </c>
      <c r="R36" s="1" t="n"/>
    </row>
    <row r="37" ht="78" customHeight="1">
      <c r="A37" s="1" t="n"/>
      <c r="B37" s="17" t="n">
        <v>31</v>
      </c>
      <c r="C37" s="38" t="n">
        <v>3</v>
      </c>
      <c r="D37" s="29" t="inlineStr">
        <is>
          <t>Crowe LLP</t>
        </is>
      </c>
      <c r="E37" s="30" t="inlineStr">
        <is>
          <t>Senior Manager, Risk Consulting</t>
        </is>
      </c>
      <c r="F37" s="17" t="inlineStr">
        <is>
          <t>—</t>
        </is>
      </c>
      <c r="G37" s="30" t="inlineStr">
        <is>
          <t>Mid-Market Consulting</t>
        </is>
      </c>
      <c r="H37" s="30" t="inlineStr">
        <is>
          <t>Livingston, NJ</t>
        </is>
      </c>
      <c r="I37" s="19" t="n">
        <v>140000</v>
      </c>
      <c r="J37" s="19" t="n">
        <v>190000</v>
      </c>
      <c r="K37" s="19">
        <f>(I37+J37)/2</f>
        <v/>
      </c>
      <c r="L37" s="31" t="n">
        <v>7</v>
      </c>
      <c r="M37" s="19">
        <f>K37*L37/10</f>
        <v/>
      </c>
      <c r="N37" s="32" t="inlineStr">
        <is>
          <t>$140K–$190K</t>
        </is>
      </c>
      <c r="O37" s="17" t="inlineStr">
        <is>
          <t>Apr 2026</t>
        </is>
      </c>
      <c r="P37" s="21" t="inlineStr">
        <is>
          <t>Apply ▸</t>
        </is>
      </c>
      <c r="Q37" s="30" t="inlineStr">
        <is>
          <t>Livingston is a 25-min drive. Crowe's FS practice is bigger than its brand suggests; AI risk advisory is hiring.</t>
        </is>
      </c>
      <c r="R37" s="1" t="n"/>
    </row>
    <row r="38" ht="78" customHeight="1">
      <c r="A38" s="1" t="n"/>
      <c r="B38" s="22" t="n">
        <v>32</v>
      </c>
      <c r="C38" s="38" t="n">
        <v>3</v>
      </c>
      <c r="D38" s="33" t="inlineStr">
        <is>
          <t>SOLV Energy</t>
        </is>
      </c>
      <c r="E38" s="34" t="inlineStr">
        <is>
          <t>Senior Audit Manager</t>
        </is>
      </c>
      <c r="F38" s="22" t="inlineStr">
        <is>
          <t>—</t>
        </is>
      </c>
      <c r="G38" s="34" t="inlineStr">
        <is>
          <t>Energy</t>
        </is>
      </c>
      <c r="H38" s="34" t="inlineStr">
        <is>
          <t>Edison, NJ</t>
        </is>
      </c>
      <c r="I38" s="24" t="n">
        <v>140000</v>
      </c>
      <c r="J38" s="24" t="n">
        <v>195000</v>
      </c>
      <c r="K38" s="24">
        <f>(I38+J38)/2</f>
        <v/>
      </c>
      <c r="L38" s="35" t="n">
        <v>6.7</v>
      </c>
      <c r="M38" s="24">
        <f>K38*L38/10</f>
        <v/>
      </c>
      <c r="N38" s="36" t="inlineStr">
        <is>
          <t>$140K–$195K</t>
        </is>
      </c>
      <c r="O38" s="22" t="inlineStr">
        <is>
          <t>Mar 2026</t>
        </is>
      </c>
      <c r="P38" s="26" t="inlineStr">
        <is>
          <t>Apply ▸</t>
        </is>
      </c>
      <c r="Q38" s="34" t="inlineStr">
        <is>
          <t>Renewables EPC contractor. Smaller IA team, but heavy on project-controls — adjacent to Yasir's program-management experience.</t>
        </is>
      </c>
      <c r="R38" s="1" t="n"/>
    </row>
    <row r="39" ht="78" customHeight="1">
      <c r="A39" s="1" t="n"/>
      <c r="B39" s="17" t="n">
        <v>33</v>
      </c>
      <c r="C39" s="38" t="n">
        <v>3</v>
      </c>
      <c r="D39" s="29" t="inlineStr">
        <is>
          <t>Baker Tilly</t>
        </is>
      </c>
      <c r="E39" s="30" t="inlineStr">
        <is>
          <t>Senior Manager, Risk Advisory</t>
        </is>
      </c>
      <c r="F39" s="17" t="inlineStr">
        <is>
          <t>—</t>
        </is>
      </c>
      <c r="G39" s="30" t="inlineStr">
        <is>
          <t>Mid-Market Consulting</t>
        </is>
      </c>
      <c r="H39" s="30" t="inlineStr">
        <is>
          <t>Iselin, NJ</t>
        </is>
      </c>
      <c r="I39" s="19" t="n">
        <v>135000</v>
      </c>
      <c r="J39" s="19" t="n">
        <v>185000</v>
      </c>
      <c r="K39" s="19">
        <f>(I39+J39)/2</f>
        <v/>
      </c>
      <c r="L39" s="31" t="n">
        <v>6.8</v>
      </c>
      <c r="M39" s="19">
        <f>K39*L39/10</f>
        <v/>
      </c>
      <c r="N39" s="32" t="inlineStr">
        <is>
          <t>$135K–$185K</t>
        </is>
      </c>
      <c r="O39" s="17" t="inlineStr">
        <is>
          <t>Apr 2026</t>
        </is>
      </c>
      <c r="P39" s="21" t="inlineStr">
        <is>
          <t>Apply ▸</t>
        </is>
      </c>
      <c r="Q39" s="30" t="inlineStr">
        <is>
          <t>Iselin office, easy commute. Pay trails Big 4; partner track for the right hire.</t>
        </is>
      </c>
      <c r="R39" s="1" t="n"/>
    </row>
    <row r="40" ht="78" customHeight="1">
      <c r="A40" s="1" t="n"/>
      <c r="B40" s="22" t="n">
        <v>34</v>
      </c>
      <c r="C40" s="38" t="n">
        <v>3</v>
      </c>
      <c r="D40" s="33" t="inlineStr">
        <is>
          <t>Seton Hall University</t>
        </is>
      </c>
      <c r="E40" s="34" t="inlineStr">
        <is>
          <t>Director, Internal Audit</t>
        </is>
      </c>
      <c r="F40" s="22" t="inlineStr">
        <is>
          <t>—</t>
        </is>
      </c>
      <c r="G40" s="34" t="inlineStr">
        <is>
          <t>Academic Admin</t>
        </is>
      </c>
      <c r="H40" s="34" t="inlineStr">
        <is>
          <t>South Orange, NJ</t>
        </is>
      </c>
      <c r="I40" s="24" t="n">
        <v>130000</v>
      </c>
      <c r="J40" s="24" t="n">
        <v>175000</v>
      </c>
      <c r="K40" s="24">
        <f>(I40+J40)/2</f>
        <v/>
      </c>
      <c r="L40" s="35" t="n">
        <v>7</v>
      </c>
      <c r="M40" s="24">
        <f>K40*L40/10</f>
        <v/>
      </c>
      <c r="N40" s="36" t="inlineStr">
        <is>
          <t>$130K–$175K</t>
        </is>
      </c>
      <c r="O40" s="22" t="inlineStr">
        <is>
          <t>Mar 2026</t>
        </is>
      </c>
      <c r="P40" s="26" t="inlineStr">
        <is>
          <t>Apply ▸</t>
        </is>
      </c>
      <c r="Q40" s="34" t="inlineStr">
        <is>
          <t>South Orange, 20 min from Newark. Catholic university IA office; smaller, slower, stable.</t>
        </is>
      </c>
      <c r="R40" s="1" t="n"/>
    </row>
    <row r="41" ht="78" customHeight="1">
      <c r="A41" s="1" t="n"/>
      <c r="B41" s="17" t="n">
        <v>35</v>
      </c>
      <c r="C41" s="38" t="n">
        <v>3</v>
      </c>
      <c r="D41" s="29" t="inlineStr">
        <is>
          <t>Rutgers University</t>
        </is>
      </c>
      <c r="E41" s="30" t="inlineStr">
        <is>
          <t>Senior Internal Auditor</t>
        </is>
      </c>
      <c r="F41" s="17" t="inlineStr">
        <is>
          <t>—</t>
        </is>
      </c>
      <c r="G41" s="30" t="inlineStr">
        <is>
          <t>Academic Admin</t>
        </is>
      </c>
      <c r="H41" s="30" t="inlineStr">
        <is>
          <t>New Brunswick, NJ</t>
        </is>
      </c>
      <c r="I41" s="19" t="n">
        <v>125000</v>
      </c>
      <c r="J41" s="19" t="n">
        <v>170000</v>
      </c>
      <c r="K41" s="19">
        <f>(I41+J41)/2</f>
        <v/>
      </c>
      <c r="L41" s="31" t="n">
        <v>7.2</v>
      </c>
      <c r="M41" s="19">
        <f>K41*L41/10</f>
        <v/>
      </c>
      <c r="N41" s="32" t="inlineStr">
        <is>
          <t>$125K–$170K</t>
        </is>
      </c>
      <c r="O41" s="17" t="inlineStr">
        <is>
          <t>Apr 2026</t>
        </is>
      </c>
      <c r="P41" s="21" t="inlineStr">
        <is>
          <t>Apply ▸</t>
        </is>
      </c>
      <c r="Q41" s="30" t="inlineStr">
        <is>
          <t>State school audit office, generous pension + tuition benefit. Salary band is a step down but covers DBA tuition reimbursement.</t>
        </is>
      </c>
      <c r="R41" s="1" t="n"/>
    </row>
    <row r="42" ht="78" customHeight="1">
      <c r="A42" s="1" t="n"/>
      <c r="B42" s="22" t="n">
        <v>36</v>
      </c>
      <c r="C42" s="38" t="n">
        <v>3</v>
      </c>
      <c r="D42" s="33" t="inlineStr">
        <is>
          <t>Kearny Bank</t>
        </is>
      </c>
      <c r="E42" s="34" t="inlineStr">
        <is>
          <t>VP, Internal Audit</t>
        </is>
      </c>
      <c r="F42" s="22" t="inlineStr">
        <is>
          <t>—</t>
        </is>
      </c>
      <c r="G42" s="34" t="inlineStr">
        <is>
          <t>Community Bank</t>
        </is>
      </c>
      <c r="H42" s="34" t="inlineStr">
        <is>
          <t>Fairfield, NJ</t>
        </is>
      </c>
      <c r="I42" s="24" t="n">
        <v>130000</v>
      </c>
      <c r="J42" s="24" t="n">
        <v>180000</v>
      </c>
      <c r="K42" s="24">
        <f>(I42+J42)/2</f>
        <v/>
      </c>
      <c r="L42" s="35" t="n">
        <v>6.5</v>
      </c>
      <c r="M42" s="24">
        <f>K42*L42/10</f>
        <v/>
      </c>
      <c r="N42" s="36" t="inlineStr">
        <is>
          <t>$130K–$180K</t>
        </is>
      </c>
      <c r="O42" s="22" t="inlineStr">
        <is>
          <t>Mar 2026</t>
        </is>
      </c>
      <c r="P42" s="26" t="inlineStr">
        <is>
          <t>Apply ▸</t>
        </is>
      </c>
      <c r="Q42" s="34" t="inlineStr">
        <is>
          <t>Small community bank IA leader role. Title good, comp light. Backup option if G-SIB search drags.</t>
        </is>
      </c>
      <c r="R42" s="1" t="n"/>
    </row>
    <row r="43" ht="78" customHeight="1">
      <c r="A43" s="1" t="n"/>
      <c r="B43" s="17" t="n">
        <v>37</v>
      </c>
      <c r="C43" s="38" t="n">
        <v>3</v>
      </c>
      <c r="D43" s="29" t="inlineStr">
        <is>
          <t>Robert Half (Mgmt Resources)</t>
        </is>
      </c>
      <c r="E43" s="30" t="inlineStr">
        <is>
          <t>Senior Audit Consultant — interim VP</t>
        </is>
      </c>
      <c r="F43" s="17" t="inlineStr">
        <is>
          <t>—</t>
        </is>
      </c>
      <c r="G43" s="30" t="inlineStr">
        <is>
          <t>Staffing</t>
        </is>
      </c>
      <c r="H43" s="30" t="inlineStr">
        <is>
          <t>Somerset, NJ</t>
        </is>
      </c>
      <c r="I43" s="19" t="n">
        <v>130000</v>
      </c>
      <c r="J43" s="19" t="n">
        <v>175000</v>
      </c>
      <c r="K43" s="19">
        <f>(I43+J43)/2</f>
        <v/>
      </c>
      <c r="L43" s="31" t="n">
        <v>6.6</v>
      </c>
      <c r="M43" s="19">
        <f>K43*L43/10</f>
        <v/>
      </c>
      <c r="N43" s="32" t="inlineStr">
        <is>
          <t>$130K–$175K</t>
        </is>
      </c>
      <c r="O43" s="17" t="inlineStr">
        <is>
          <t>May 2026</t>
        </is>
      </c>
      <c r="P43" s="21" t="inlineStr">
        <is>
          <t>Apply ▸</t>
        </is>
      </c>
      <c r="Q43" s="30" t="inlineStr">
        <is>
          <t>Interim/contract bridge while permanent search runs. Often comes with extension or conversion offer.</t>
        </is>
      </c>
      <c r="R43" s="1" t="n"/>
    </row>
    <row r="44" ht="78" customHeight="1">
      <c r="A44" s="1" t="n"/>
      <c r="B44" s="22" t="n">
        <v>38</v>
      </c>
      <c r="C44" s="39" t="n">
        <v>4</v>
      </c>
      <c r="D44" s="33" t="inlineStr">
        <is>
          <t>Stevens Institute of Technology</t>
        </is>
      </c>
      <c r="E44" s="34" t="inlineStr">
        <is>
          <t>Adjunct Faculty — FinTech &amp; AI Audit</t>
        </is>
      </c>
      <c r="F44" s="22" t="inlineStr">
        <is>
          <t>—</t>
        </is>
      </c>
      <c r="G44" s="34" t="inlineStr">
        <is>
          <t>Academic-Adjunct</t>
        </is>
      </c>
      <c r="H44" s="34" t="inlineStr">
        <is>
          <t>Hoboken, NJ</t>
        </is>
      </c>
      <c r="I44" s="24" t="n">
        <v>0</v>
      </c>
      <c r="J44" s="24" t="n">
        <v>0</v>
      </c>
      <c r="K44" s="24">
        <f>(I44+J44)/2</f>
        <v/>
      </c>
      <c r="L44" s="35" t="n">
        <v>6.2</v>
      </c>
      <c r="M44" s="24">
        <f>K44*L44/10</f>
        <v/>
      </c>
      <c r="N44" s="36" t="inlineStr">
        <is>
          <t>$1,800/credit</t>
        </is>
      </c>
      <c r="O44" s="22" t="inlineStr">
        <is>
          <t>Apr 2026</t>
        </is>
      </c>
      <c r="P44" s="26" t="inlineStr">
        <is>
          <t>Apply ▸</t>
        </is>
      </c>
      <c r="Q44" s="34" t="inlineStr">
        <is>
          <t>Hoboken evening adjunct; pairs with DBA timeline and AI governance positioning. Pure signaling/publication play.</t>
        </is>
      </c>
      <c r="R44" s="1" t="n"/>
    </row>
    <row r="45" ht="78" customHeight="1">
      <c r="A45" s="1" t="n"/>
      <c r="B45" s="17" t="n">
        <v>39</v>
      </c>
      <c r="C45" s="39" t="n">
        <v>4</v>
      </c>
      <c r="D45" s="29" t="inlineStr">
        <is>
          <t>FIU Online</t>
        </is>
      </c>
      <c r="E45" s="30" t="inlineStr">
        <is>
          <t>Adjunct Faculty — AI Ethics &amp; Audit</t>
        </is>
      </c>
      <c r="F45" s="17" t="inlineStr">
        <is>
          <t>—</t>
        </is>
      </c>
      <c r="G45" s="30" t="inlineStr">
        <is>
          <t>Academic-Adjunct</t>
        </is>
      </c>
      <c r="H45" s="30" t="inlineStr">
        <is>
          <t>Remote / Miami, FL</t>
        </is>
      </c>
      <c r="I45" s="19" t="n">
        <v>0</v>
      </c>
      <c r="J45" s="19" t="n">
        <v>0</v>
      </c>
      <c r="K45" s="19">
        <f>(I45+J45)/2</f>
        <v/>
      </c>
      <c r="L45" s="31" t="n">
        <v>6</v>
      </c>
      <c r="M45" s="19">
        <f>K45*L45/10</f>
        <v/>
      </c>
      <c r="N45" s="32" t="inlineStr">
        <is>
          <t>$1,975/credit</t>
        </is>
      </c>
      <c r="O45" s="17" t="inlineStr">
        <is>
          <t>Apr 2026</t>
        </is>
      </c>
      <c r="P45" s="21" t="inlineStr">
        <is>
          <t>Apply ▸</t>
        </is>
      </c>
      <c r="Q45" s="30" t="inlineStr">
        <is>
          <t>FIU is Yasir's DBA institution — adjunct slot keeps the academic affiliation visible and pays the dissertation runway.</t>
        </is>
      </c>
      <c r="R45" s="1" t="n"/>
    </row>
    <row r="46" ht="78" customHeight="1">
      <c r="A46" s="1" t="n"/>
      <c r="B46" s="22" t="n">
        <v>40</v>
      </c>
      <c r="C46" s="39" t="n">
        <v>4</v>
      </c>
      <c r="D46" s="33" t="inlineStr">
        <is>
          <t>NJIT</t>
        </is>
      </c>
      <c r="E46" s="34" t="inlineStr">
        <is>
          <t>Adjunct Faculty — Risk Management</t>
        </is>
      </c>
      <c r="F46" s="22" t="inlineStr">
        <is>
          <t>—</t>
        </is>
      </c>
      <c r="G46" s="34" t="inlineStr">
        <is>
          <t>Academic-Adjunct</t>
        </is>
      </c>
      <c r="H46" s="34" t="inlineStr">
        <is>
          <t>Newark, NJ</t>
        </is>
      </c>
      <c r="I46" s="24" t="n">
        <v>0</v>
      </c>
      <c r="J46" s="24" t="n">
        <v>0</v>
      </c>
      <c r="K46" s="24">
        <f>(I46+J46)/2</f>
        <v/>
      </c>
      <c r="L46" s="35" t="n">
        <v>5.8</v>
      </c>
      <c r="M46" s="24">
        <f>K46*L46/10</f>
        <v/>
      </c>
      <c r="N46" s="36" t="inlineStr">
        <is>
          <t>$1,500/credit</t>
        </is>
      </c>
      <c r="O46" s="22" t="inlineStr">
        <is>
          <t>Mar 2026</t>
        </is>
      </c>
      <c r="P46" s="26" t="inlineStr">
        <is>
          <t>Apply ▸</t>
        </is>
      </c>
      <c r="Q46" s="34" t="inlineStr">
        <is>
          <t>Walk-to-work adjunct slot. Tiny check but stacks teaching credential during the search.</t>
        </is>
      </c>
      <c r="R46" s="1" t="n"/>
    </row>
    <row r="47" ht="78" customHeight="1">
      <c r="A47" s="1" t="n"/>
      <c r="B47" s="17" t="n">
        <v>41</v>
      </c>
      <c r="C47" s="39" t="n">
        <v>4</v>
      </c>
      <c r="D47" s="29" t="inlineStr">
        <is>
          <t>Rider University</t>
        </is>
      </c>
      <c r="E47" s="30" t="inlineStr">
        <is>
          <t>Adjunct Faculty — Accounting &amp; Audit</t>
        </is>
      </c>
      <c r="F47" s="17" t="inlineStr">
        <is>
          <t>—</t>
        </is>
      </c>
      <c r="G47" s="30" t="inlineStr">
        <is>
          <t>Academic-Adjunct</t>
        </is>
      </c>
      <c r="H47" s="30" t="inlineStr">
        <is>
          <t>Lawrenceville, NJ</t>
        </is>
      </c>
      <c r="I47" s="19" t="n">
        <v>0</v>
      </c>
      <c r="J47" s="19" t="n">
        <v>0</v>
      </c>
      <c r="K47" s="19">
        <f>(I47+J47)/2</f>
        <v/>
      </c>
      <c r="L47" s="31" t="n">
        <v>5.7</v>
      </c>
      <c r="M47" s="19">
        <f>K47*L47/10</f>
        <v/>
      </c>
      <c r="N47" s="32" t="inlineStr">
        <is>
          <t>$1,400/credit</t>
        </is>
      </c>
      <c r="O47" s="17" t="inlineStr">
        <is>
          <t>Mar 2026</t>
        </is>
      </c>
      <c r="P47" s="21" t="inlineStr">
        <is>
          <t>Apply ▸</t>
        </is>
      </c>
      <c r="Q47" s="30" t="inlineStr">
        <is>
          <t>Lawrenceville is a stretch commute but it's an evening-only slot. Backup teaching credential.</t>
        </is>
      </c>
      <c r="R47" s="1" t="n"/>
    </row>
    <row r="48" ht="78" customHeight="1">
      <c r="A48" s="1" t="n"/>
      <c r="B48" s="22" t="n">
        <v>42</v>
      </c>
      <c r="C48" s="39" t="n">
        <v>4</v>
      </c>
      <c r="D48" s="33" t="inlineStr">
        <is>
          <t>Saint Peter's University</t>
        </is>
      </c>
      <c r="E48" s="34" t="inlineStr">
        <is>
          <t>Adjunct Faculty — Auditing</t>
        </is>
      </c>
      <c r="F48" s="22" t="inlineStr">
        <is>
          <t>—</t>
        </is>
      </c>
      <c r="G48" s="34" t="inlineStr">
        <is>
          <t>Academic-Adjunct</t>
        </is>
      </c>
      <c r="H48" s="34" t="inlineStr">
        <is>
          <t>Jersey City, NJ</t>
        </is>
      </c>
      <c r="I48" s="24" t="n">
        <v>0</v>
      </c>
      <c r="J48" s="24" t="n">
        <v>0</v>
      </c>
      <c r="K48" s="24">
        <f>(I48+J48)/2</f>
        <v/>
      </c>
      <c r="L48" s="35" t="n">
        <v>5.7</v>
      </c>
      <c r="M48" s="24">
        <f>K48*L48/10</f>
        <v/>
      </c>
      <c r="N48" s="36" t="inlineStr">
        <is>
          <t>$1,400/credit</t>
        </is>
      </c>
      <c r="O48" s="22" t="inlineStr">
        <is>
          <t>Mar 2026</t>
        </is>
      </c>
      <c r="P48" s="26" t="inlineStr">
        <is>
          <t>Apply ▸</t>
        </is>
      </c>
      <c r="Q48" s="34" t="inlineStr">
        <is>
          <t>PATH-accessible; Jesuit university with growing business school. Small evening class.</t>
        </is>
      </c>
      <c r="R48" s="1" t="n"/>
    </row>
    <row r="49" ht="78" customHeight="1">
      <c r="A49" s="1" t="n"/>
      <c r="B49" s="17" t="n">
        <v>43</v>
      </c>
      <c r="C49" s="39" t="n">
        <v>4</v>
      </c>
      <c r="D49" s="29" t="inlineStr">
        <is>
          <t>Fairleigh Dickinson University</t>
        </is>
      </c>
      <c r="E49" s="30" t="inlineStr">
        <is>
          <t>Adjunct Faculty — Risk &amp; Compliance</t>
        </is>
      </c>
      <c r="F49" s="17" t="inlineStr">
        <is>
          <t>—</t>
        </is>
      </c>
      <c r="G49" s="30" t="inlineStr">
        <is>
          <t>Academic-Adjunct</t>
        </is>
      </c>
      <c r="H49" s="30" t="inlineStr">
        <is>
          <t>Teaneck, NJ</t>
        </is>
      </c>
      <c r="I49" s="19" t="n">
        <v>0</v>
      </c>
      <c r="J49" s="19" t="n">
        <v>0</v>
      </c>
      <c r="K49" s="19">
        <f>(I49+J49)/2</f>
        <v/>
      </c>
      <c r="L49" s="31" t="n">
        <v>5.6</v>
      </c>
      <c r="M49" s="19">
        <f>K49*L49/10</f>
        <v/>
      </c>
      <c r="N49" s="32" t="inlineStr">
        <is>
          <t>$1,500/credit</t>
        </is>
      </c>
      <c r="O49" s="17" t="inlineStr">
        <is>
          <t>Mar 2026</t>
        </is>
      </c>
      <c r="P49" s="21" t="inlineStr">
        <is>
          <t>Apply ▸</t>
        </is>
      </c>
      <c r="Q49" s="30" t="inlineStr">
        <is>
          <t>Teaneck campus. Lower-pay but accepting adjuncts on rolling basis.</t>
        </is>
      </c>
      <c r="R49" s="1" t="n"/>
    </row>
    <row r="50" ht="78" customHeight="1">
      <c r="A50" s="1" t="n"/>
      <c r="B50" s="22" t="n">
        <v>44</v>
      </c>
      <c r="C50" s="39" t="n">
        <v>4</v>
      </c>
      <c r="D50" s="33" t="inlineStr">
        <is>
          <t>Kean University</t>
        </is>
      </c>
      <c r="E50" s="34" t="inlineStr">
        <is>
          <t>Adjunct Faculty — AI Ethics</t>
        </is>
      </c>
      <c r="F50" s="22" t="inlineStr">
        <is>
          <t>—</t>
        </is>
      </c>
      <c r="G50" s="34" t="inlineStr">
        <is>
          <t>Academic-Adjunct</t>
        </is>
      </c>
      <c r="H50" s="34" t="inlineStr">
        <is>
          <t>Union, NJ</t>
        </is>
      </c>
      <c r="I50" s="24" t="n">
        <v>0</v>
      </c>
      <c r="J50" s="24" t="n">
        <v>0</v>
      </c>
      <c r="K50" s="24">
        <f>(I50+J50)/2</f>
        <v/>
      </c>
      <c r="L50" s="35" t="n">
        <v>5.6</v>
      </c>
      <c r="M50" s="24">
        <f>K50*L50/10</f>
        <v/>
      </c>
      <c r="N50" s="36" t="inlineStr">
        <is>
          <t>$1,300/credit</t>
        </is>
      </c>
      <c r="O50" s="22" t="inlineStr">
        <is>
          <t>Mar 2026</t>
        </is>
      </c>
      <c r="P50" s="26" t="inlineStr">
        <is>
          <t>Apply ▸</t>
        </is>
      </c>
      <c r="Q50" s="34" t="inlineStr">
        <is>
          <t>Union NJ commute. AI Ethics syllabus aligns with Yasir's dissertation.</t>
        </is>
      </c>
      <c r="R50" s="1" t="n"/>
    </row>
    <row r="51" ht="78" customHeight="1">
      <c r="A51" s="1" t="n"/>
      <c r="B51" s="17" t="n">
        <v>45</v>
      </c>
      <c r="C51" s="39" t="n">
        <v>4</v>
      </c>
      <c r="D51" s="29" t="inlineStr">
        <is>
          <t>New Jersey City University</t>
        </is>
      </c>
      <c r="E51" s="30" t="inlineStr">
        <is>
          <t>Adjunct Faculty — Risk Management</t>
        </is>
      </c>
      <c r="F51" s="17" t="inlineStr">
        <is>
          <t>—</t>
        </is>
      </c>
      <c r="G51" s="30" t="inlineStr">
        <is>
          <t>Academic-Adjunct</t>
        </is>
      </c>
      <c r="H51" s="30" t="inlineStr">
        <is>
          <t>Jersey City, NJ</t>
        </is>
      </c>
      <c r="I51" s="19" t="n">
        <v>0</v>
      </c>
      <c r="J51" s="19" t="n">
        <v>0</v>
      </c>
      <c r="K51" s="19">
        <f>(I51+J51)/2</f>
        <v/>
      </c>
      <c r="L51" s="31" t="n">
        <v>5.6</v>
      </c>
      <c r="M51" s="19">
        <f>K51*L51/10</f>
        <v/>
      </c>
      <c r="N51" s="32" t="inlineStr">
        <is>
          <t>$1,300/credit</t>
        </is>
      </c>
      <c r="O51" s="17" t="inlineStr">
        <is>
          <t>Mar 2026</t>
        </is>
      </c>
      <c r="P51" s="21" t="inlineStr">
        <is>
          <t>Apply ▸</t>
        </is>
      </c>
      <c r="Q51" s="30" t="inlineStr">
        <is>
          <t>Jersey City, walkable from PATH. NJCU is consistently hiring adjuncts in the business school.</t>
        </is>
      </c>
      <c r="R51" s="1" t="n"/>
    </row>
    <row r="52" ht="78" customHeight="1">
      <c r="A52" s="1" t="n"/>
      <c r="B52" s="22" t="n">
        <v>46</v>
      </c>
      <c r="C52" s="39" t="n">
        <v>4</v>
      </c>
      <c r="D52" s="33" t="inlineStr">
        <is>
          <t>Montclair State University</t>
        </is>
      </c>
      <c r="E52" s="34" t="inlineStr">
        <is>
          <t>Adjunct Faculty — Accounting</t>
        </is>
      </c>
      <c r="F52" s="22" t="inlineStr">
        <is>
          <t>—</t>
        </is>
      </c>
      <c r="G52" s="34" t="inlineStr">
        <is>
          <t>Academic-Adjunct</t>
        </is>
      </c>
      <c r="H52" s="34" t="inlineStr">
        <is>
          <t>Montclair, NJ</t>
        </is>
      </c>
      <c r="I52" s="24" t="n">
        <v>0</v>
      </c>
      <c r="J52" s="24" t="n">
        <v>0</v>
      </c>
      <c r="K52" s="24">
        <f>(I52+J52)/2</f>
        <v/>
      </c>
      <c r="L52" s="35" t="n">
        <v>5.5</v>
      </c>
      <c r="M52" s="24">
        <f>K52*L52/10</f>
        <v/>
      </c>
      <c r="N52" s="36" t="inlineStr">
        <is>
          <t>$1,400/credit</t>
        </is>
      </c>
      <c r="O52" s="22" t="inlineStr">
        <is>
          <t>Mar 2026</t>
        </is>
      </c>
      <c r="P52" s="26" t="inlineStr">
        <is>
          <t>Apply ▸</t>
        </is>
      </c>
      <c r="Q52" s="34" t="inlineStr">
        <is>
          <t>Montclair is 20 min from Newark. Solid backup teaching slot.</t>
        </is>
      </c>
      <c r="R52" s="1" t="n"/>
    </row>
    <row r="53" ht="78" customHeight="1">
      <c r="A53" s="1" t="n"/>
      <c r="B53" s="17" t="n">
        <v>47</v>
      </c>
      <c r="C53" s="39" t="n">
        <v>4</v>
      </c>
      <c r="D53" s="29" t="inlineStr">
        <is>
          <t>William Paterson University</t>
        </is>
      </c>
      <c r="E53" s="30" t="inlineStr">
        <is>
          <t>Adjunct Faculty — Business</t>
        </is>
      </c>
      <c r="F53" s="17" t="inlineStr">
        <is>
          <t>—</t>
        </is>
      </c>
      <c r="G53" s="30" t="inlineStr">
        <is>
          <t>Academic-Adjunct</t>
        </is>
      </c>
      <c r="H53" s="30" t="inlineStr">
        <is>
          <t>Wayne, NJ</t>
        </is>
      </c>
      <c r="I53" s="19" t="n">
        <v>0</v>
      </c>
      <c r="J53" s="19" t="n">
        <v>0</v>
      </c>
      <c r="K53" s="19">
        <f>(I53+J53)/2</f>
        <v/>
      </c>
      <c r="L53" s="31" t="n">
        <v>5.5</v>
      </c>
      <c r="M53" s="19">
        <f>K53*L53/10</f>
        <v/>
      </c>
      <c r="N53" s="32" t="inlineStr">
        <is>
          <t>$1,300/credit</t>
        </is>
      </c>
      <c r="O53" s="17" t="inlineStr">
        <is>
          <t>Feb 2026</t>
        </is>
      </c>
      <c r="P53" s="21" t="inlineStr">
        <is>
          <t>Apply ▸</t>
        </is>
      </c>
      <c r="Q53" s="30" t="inlineStr">
        <is>
          <t>Wayne commute is long. Lowest-priority adjunct backup.</t>
        </is>
      </c>
      <c r="R53" s="1" t="n"/>
    </row>
    <row r="54" ht="78" customHeight="1">
      <c r="A54" s="1" t="n"/>
      <c r="B54" s="22" t="n">
        <v>48</v>
      </c>
      <c r="C54" s="39" t="n">
        <v>4</v>
      </c>
      <c r="D54" s="33" t="inlineStr">
        <is>
          <t>Mercer County Community College</t>
        </is>
      </c>
      <c r="E54" s="34" t="inlineStr">
        <is>
          <t>Adjunct Faculty — Business Audit</t>
        </is>
      </c>
      <c r="F54" s="22" t="inlineStr">
        <is>
          <t>—</t>
        </is>
      </c>
      <c r="G54" s="34" t="inlineStr">
        <is>
          <t>Academic-Adjunct</t>
        </is>
      </c>
      <c r="H54" s="34" t="inlineStr">
        <is>
          <t>Trenton, NJ</t>
        </is>
      </c>
      <c r="I54" s="24" t="n">
        <v>0</v>
      </c>
      <c r="J54" s="24" t="n">
        <v>0</v>
      </c>
      <c r="K54" s="24">
        <f>(I54+J54)/2</f>
        <v/>
      </c>
      <c r="L54" s="35" t="n">
        <v>5.5</v>
      </c>
      <c r="M54" s="24">
        <f>K54*L54/10</f>
        <v/>
      </c>
      <c r="N54" s="36" t="inlineStr">
        <is>
          <t>$1,200/credit</t>
        </is>
      </c>
      <c r="O54" s="22" t="inlineStr">
        <is>
          <t>Feb 2026</t>
        </is>
      </c>
      <c r="P54" s="26" t="inlineStr">
        <is>
          <t>Apply ▸</t>
        </is>
      </c>
      <c r="Q54" s="34" t="inlineStr">
        <is>
          <t>Community-college adjunct. Lowest comp but easiest qualification check.</t>
        </is>
      </c>
      <c r="R54" s="1" t="n"/>
    </row>
    <row r="55" ht="78" customHeight="1">
      <c r="A55" s="1" t="n"/>
      <c r="B55" s="17" t="n">
        <v>49</v>
      </c>
      <c r="C55" s="39" t="n">
        <v>4</v>
      </c>
      <c r="D55" s="29" t="inlineStr">
        <is>
          <t>Essex County College</t>
        </is>
      </c>
      <c r="E55" s="30" t="inlineStr">
        <is>
          <t>Adjunct Faculty — Business Management</t>
        </is>
      </c>
      <c r="F55" s="17" t="inlineStr">
        <is>
          <t>—</t>
        </is>
      </c>
      <c r="G55" s="30" t="inlineStr">
        <is>
          <t>Academic-Adjunct</t>
        </is>
      </c>
      <c r="H55" s="30" t="inlineStr">
        <is>
          <t>Newark, NJ</t>
        </is>
      </c>
      <c r="I55" s="19" t="n">
        <v>0</v>
      </c>
      <c r="J55" s="19" t="n">
        <v>0</v>
      </c>
      <c r="K55" s="19">
        <f>(I55+J55)/2</f>
        <v/>
      </c>
      <c r="L55" s="31" t="n">
        <v>5.5</v>
      </c>
      <c r="M55" s="19">
        <f>K55*L55/10</f>
        <v/>
      </c>
      <c r="N55" s="32" t="inlineStr">
        <is>
          <t>$1,100/credit</t>
        </is>
      </c>
      <c r="O55" s="17" t="inlineStr">
        <is>
          <t>Feb 2026</t>
        </is>
      </c>
      <c r="P55" s="21" t="inlineStr">
        <is>
          <t>Apply ▸</t>
        </is>
      </c>
      <c r="Q55" s="30" t="inlineStr">
        <is>
          <t>Walk-to-work adjunct in Newark. Stacks the teaching credential without commute cost.</t>
        </is>
      </c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</sheetData>
  <autoFilter ref="B6:Q55"/>
  <conditionalFormatting sqref="M7:M55">
    <cfRule type="dataBar" priority="1">
      <dataBar showValue="1">
        <cfvo type="min"/>
        <cfvo type="max"/>
        <color rgb="0020808D"/>
      </dataBar>
    </cfRule>
  </conditionalFormatting>
  <conditionalFormatting sqref="L7:L55">
    <cfRule type="colorScale" priority="2">
      <colorScale>
        <cfvo type="num" val="5"/>
        <cfvo type="num" val="7.5"/>
        <cfvo type="num" val="10"/>
        <color rgb="00F7F6F2"/>
        <color rgb="00BCE2E7"/>
        <color rgb="0020808D"/>
      </colorScale>
    </cfRule>
  </conditionalFormatting>
  <hyperlinks>
    <hyperlink xmlns:r="http://schemas.openxmlformats.org/officeDocument/2006/relationships" ref="P7" r:id="rId1"/>
    <hyperlink xmlns:r="http://schemas.openxmlformats.org/officeDocument/2006/relationships" ref="P8" r:id="rId2"/>
    <hyperlink xmlns:r="http://schemas.openxmlformats.org/officeDocument/2006/relationships" ref="P9" r:id="rId3"/>
    <hyperlink xmlns:r="http://schemas.openxmlformats.org/officeDocument/2006/relationships" ref="P10" r:id="rId4"/>
    <hyperlink xmlns:r="http://schemas.openxmlformats.org/officeDocument/2006/relationships" ref="P11" r:id="rId5"/>
    <hyperlink xmlns:r="http://schemas.openxmlformats.org/officeDocument/2006/relationships" ref="P12" r:id="rId6"/>
    <hyperlink xmlns:r="http://schemas.openxmlformats.org/officeDocument/2006/relationships" ref="P13" r:id="rId7"/>
    <hyperlink xmlns:r="http://schemas.openxmlformats.org/officeDocument/2006/relationships" ref="P14" r:id="rId8"/>
    <hyperlink xmlns:r="http://schemas.openxmlformats.org/officeDocument/2006/relationships" ref="P15" r:id="rId9"/>
    <hyperlink xmlns:r="http://schemas.openxmlformats.org/officeDocument/2006/relationships" ref="P16" r:id="rId10"/>
    <hyperlink xmlns:r="http://schemas.openxmlformats.org/officeDocument/2006/relationships" ref="P17" r:id="rId11"/>
    <hyperlink xmlns:r="http://schemas.openxmlformats.org/officeDocument/2006/relationships" ref="P18" r:id="rId12"/>
    <hyperlink xmlns:r="http://schemas.openxmlformats.org/officeDocument/2006/relationships" ref="P19" r:id="rId13"/>
    <hyperlink xmlns:r="http://schemas.openxmlformats.org/officeDocument/2006/relationships" ref="P20" r:id="rId14"/>
    <hyperlink xmlns:r="http://schemas.openxmlformats.org/officeDocument/2006/relationships" ref="P21" r:id="rId15"/>
    <hyperlink xmlns:r="http://schemas.openxmlformats.org/officeDocument/2006/relationships" ref="P22" r:id="rId16"/>
    <hyperlink xmlns:r="http://schemas.openxmlformats.org/officeDocument/2006/relationships" ref="P23" r:id="rId17"/>
    <hyperlink xmlns:r="http://schemas.openxmlformats.org/officeDocument/2006/relationships" ref="P24" r:id="rId18"/>
    <hyperlink xmlns:r="http://schemas.openxmlformats.org/officeDocument/2006/relationships" ref="P25" r:id="rId19"/>
    <hyperlink xmlns:r="http://schemas.openxmlformats.org/officeDocument/2006/relationships" ref="P26" r:id="rId20"/>
    <hyperlink xmlns:r="http://schemas.openxmlformats.org/officeDocument/2006/relationships" ref="P27" r:id="rId21"/>
    <hyperlink xmlns:r="http://schemas.openxmlformats.org/officeDocument/2006/relationships" ref="P28" r:id="rId22"/>
    <hyperlink xmlns:r="http://schemas.openxmlformats.org/officeDocument/2006/relationships" ref="P29" r:id="rId23"/>
    <hyperlink xmlns:r="http://schemas.openxmlformats.org/officeDocument/2006/relationships" ref="P30" r:id="rId24"/>
    <hyperlink xmlns:r="http://schemas.openxmlformats.org/officeDocument/2006/relationships" ref="P31" r:id="rId25"/>
    <hyperlink xmlns:r="http://schemas.openxmlformats.org/officeDocument/2006/relationships" ref="P32" r:id="rId26"/>
    <hyperlink xmlns:r="http://schemas.openxmlformats.org/officeDocument/2006/relationships" ref="P33" r:id="rId27"/>
    <hyperlink xmlns:r="http://schemas.openxmlformats.org/officeDocument/2006/relationships" ref="P34" r:id="rId28"/>
    <hyperlink xmlns:r="http://schemas.openxmlformats.org/officeDocument/2006/relationships" ref="P35" r:id="rId29"/>
    <hyperlink xmlns:r="http://schemas.openxmlformats.org/officeDocument/2006/relationships" ref="P36" r:id="rId30"/>
    <hyperlink xmlns:r="http://schemas.openxmlformats.org/officeDocument/2006/relationships" ref="P37" r:id="rId31"/>
    <hyperlink xmlns:r="http://schemas.openxmlformats.org/officeDocument/2006/relationships" ref="P38" r:id="rId32"/>
    <hyperlink xmlns:r="http://schemas.openxmlformats.org/officeDocument/2006/relationships" ref="P39" r:id="rId33"/>
    <hyperlink xmlns:r="http://schemas.openxmlformats.org/officeDocument/2006/relationships" ref="P40" r:id="rId34"/>
    <hyperlink xmlns:r="http://schemas.openxmlformats.org/officeDocument/2006/relationships" ref="P41" r:id="rId35"/>
    <hyperlink xmlns:r="http://schemas.openxmlformats.org/officeDocument/2006/relationships" ref="P42" r:id="rId36"/>
    <hyperlink xmlns:r="http://schemas.openxmlformats.org/officeDocument/2006/relationships" ref="P43" r:id="rId37"/>
    <hyperlink xmlns:r="http://schemas.openxmlformats.org/officeDocument/2006/relationships" ref="P44" r:id="rId38"/>
    <hyperlink xmlns:r="http://schemas.openxmlformats.org/officeDocument/2006/relationships" ref="P45" r:id="rId39"/>
    <hyperlink xmlns:r="http://schemas.openxmlformats.org/officeDocument/2006/relationships" ref="P46" r:id="rId40"/>
    <hyperlink xmlns:r="http://schemas.openxmlformats.org/officeDocument/2006/relationships" ref="P47" r:id="rId41"/>
    <hyperlink xmlns:r="http://schemas.openxmlformats.org/officeDocument/2006/relationships" ref="P48" r:id="rId42"/>
    <hyperlink xmlns:r="http://schemas.openxmlformats.org/officeDocument/2006/relationships" ref="P49" r:id="rId43"/>
    <hyperlink xmlns:r="http://schemas.openxmlformats.org/officeDocument/2006/relationships" ref="P50" r:id="rId44"/>
    <hyperlink xmlns:r="http://schemas.openxmlformats.org/officeDocument/2006/relationships" ref="P51" r:id="rId45"/>
    <hyperlink xmlns:r="http://schemas.openxmlformats.org/officeDocument/2006/relationships" ref="P52" r:id="rId46"/>
    <hyperlink xmlns:r="http://schemas.openxmlformats.org/officeDocument/2006/relationships" ref="P53" r:id="rId47"/>
    <hyperlink xmlns:r="http://schemas.openxmlformats.org/officeDocument/2006/relationships" ref="P54" r:id="rId48"/>
    <hyperlink xmlns:r="http://schemas.openxmlformats.org/officeDocument/2006/relationships" ref="P55" r:id="rId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9" customWidth="1" min="3" max="3"/>
    <col width="14" customWidth="1" min="4" max="4"/>
    <col width="14" customWidth="1" min="5" max="5"/>
    <col width="14" customWidth="1" min="6" max="6"/>
    <col width="11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6" customHeight="1">
      <c r="A2" s="1" t="n"/>
      <c r="B2" s="27" t="inlineStr">
        <is>
          <t>By Company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26" customHeight="1">
      <c r="A5" s="1" t="n"/>
      <c r="B5" s="16" t="inlineStr">
        <is>
          <t>Employer</t>
        </is>
      </c>
      <c r="C5" s="16" t="inlineStr">
        <is>
          <t>Roles</t>
        </is>
      </c>
      <c r="D5" s="16" t="inlineStr">
        <is>
          <t>Min Sal Mid</t>
        </is>
      </c>
      <c r="E5" s="16" t="inlineStr">
        <is>
          <t>Median Sal Mid</t>
        </is>
      </c>
      <c r="F5" s="16" t="inlineStr">
        <is>
          <t>Max Sal Mid</t>
        </is>
      </c>
      <c r="G5" s="16" t="inlineStr">
        <is>
          <t>Avg Fit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22" customHeight="1">
      <c r="A6" s="1" t="n"/>
      <c r="B6" s="29" t="inlineStr">
        <is>
          <t>JPMorgan Chase</t>
        </is>
      </c>
      <c r="C6" s="17">
        <f>COUNTIF('Top Ranked Jobs'!D7:D55,"JPMorgan Chase")</f>
        <v/>
      </c>
      <c r="D6" s="19">
        <f t="array" ref="D6">MIN(IF('Top Ranked Jobs'!D7:D55="JPMorgan Chase",'Top Ranked Jobs'!K7:K55))</f>
        <v/>
      </c>
      <c r="E6" s="19">
        <f t="array" ref="E6">MEDIAN(IF('Top Ranked Jobs'!D7:D55="JPMorgan Chase",'Top Ranked Jobs'!K7:K55))</f>
        <v/>
      </c>
      <c r="F6" s="19">
        <f t="array" ref="F6">MAX(IF('Top Ranked Jobs'!D7:D55="JPMorgan Chase",'Top Ranked Jobs'!K7:K55))</f>
        <v/>
      </c>
      <c r="G6" s="31">
        <f>ROUND(AVERAGEIF('Top Ranked Jobs'!D7:D55,"JPMorgan Chase",'Top Ranked Jobs'!L7:L55),1)</f>
        <v/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22" customHeight="1">
      <c r="A7" s="1" t="n"/>
      <c r="B7" s="33" t="inlineStr">
        <is>
          <t>BNY</t>
        </is>
      </c>
      <c r="C7" s="22">
        <f>COUNTIF('Top Ranked Jobs'!D7:D55,"BNY")</f>
        <v/>
      </c>
      <c r="D7" s="24">
        <f t="array" ref="D7">MIN(IF('Top Ranked Jobs'!D7:D55="BNY",'Top Ranked Jobs'!K7:K55))</f>
        <v/>
      </c>
      <c r="E7" s="24">
        <f t="array" ref="E7">MEDIAN(IF('Top Ranked Jobs'!D7:D55="BNY",'Top Ranked Jobs'!K7:K55))</f>
        <v/>
      </c>
      <c r="F7" s="24">
        <f t="array" ref="F7">MAX(IF('Top Ranked Jobs'!D7:D55="BNY",'Top Ranked Jobs'!K7:K55))</f>
        <v/>
      </c>
      <c r="G7" s="35">
        <f>ROUND(AVERAGEIF('Top Ranked Jobs'!D7:D55,"BNY",'Top Ranked Jobs'!L7:L55),1)</f>
        <v/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22" customHeight="1">
      <c r="A8" s="1" t="n"/>
      <c r="B8" s="29" t="inlineStr">
        <is>
          <t>Bristol Myers Squibb</t>
        </is>
      </c>
      <c r="C8" s="17">
        <f>COUNTIF('Top Ranked Jobs'!D7:D55,"Bristol Myers Squibb")</f>
        <v/>
      </c>
      <c r="D8" s="19">
        <f t="array" ref="D8">MIN(IF('Top Ranked Jobs'!D7:D55="Bristol Myers Squibb",'Top Ranked Jobs'!K7:K55))</f>
        <v/>
      </c>
      <c r="E8" s="19">
        <f t="array" ref="E8">MEDIAN(IF('Top Ranked Jobs'!D7:D55="Bristol Myers Squibb",'Top Ranked Jobs'!K7:K55))</f>
        <v/>
      </c>
      <c r="F8" s="19">
        <f t="array" ref="F8">MAX(IF('Top Ranked Jobs'!D7:D55="Bristol Myers Squibb",'Top Ranked Jobs'!K7:K55))</f>
        <v/>
      </c>
      <c r="G8" s="31">
        <f>ROUND(AVERAGEIF('Top Ranked Jobs'!D7:D55,"Bristol Myers Squibb",'Top Ranked Jobs'!L7:L55),1)</f>
        <v/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22" customHeight="1">
      <c r="A9" s="1" t="n"/>
      <c r="B9" s="33" t="inlineStr">
        <is>
          <t>Morgan Stanley</t>
        </is>
      </c>
      <c r="C9" s="22">
        <f>COUNTIF('Top Ranked Jobs'!D7:D55,"Morgan Stanley")</f>
        <v/>
      </c>
      <c r="D9" s="24">
        <f t="array" ref="D9">MIN(IF('Top Ranked Jobs'!D7:D55="Morgan Stanley",'Top Ranked Jobs'!K7:K55))</f>
        <v/>
      </c>
      <c r="E9" s="24">
        <f t="array" ref="E9">MEDIAN(IF('Top Ranked Jobs'!D7:D55="Morgan Stanley",'Top Ranked Jobs'!K7:K55))</f>
        <v/>
      </c>
      <c r="F9" s="24">
        <f t="array" ref="F9">MAX(IF('Top Ranked Jobs'!D7:D55="Morgan Stanley",'Top Ranked Jobs'!K7:K55))</f>
        <v/>
      </c>
      <c r="G9" s="35">
        <f>ROUND(AVERAGEIF('Top Ranked Jobs'!D7:D55,"Morgan Stanley",'Top Ranked Jobs'!L7:L55),1)</f>
        <v/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22" customHeight="1">
      <c r="A10" s="1" t="n"/>
      <c r="B10" s="29" t="inlineStr">
        <is>
          <t>Goldman Sachs</t>
        </is>
      </c>
      <c r="C10" s="17">
        <f>COUNTIF('Top Ranked Jobs'!D7:D55,"Goldman Sachs")</f>
        <v/>
      </c>
      <c r="D10" s="19">
        <f t="array" ref="D10">MIN(IF('Top Ranked Jobs'!D7:D55="Goldman Sachs",'Top Ranked Jobs'!K7:K55))</f>
        <v/>
      </c>
      <c r="E10" s="19">
        <f t="array" ref="E10">MEDIAN(IF('Top Ranked Jobs'!D7:D55="Goldman Sachs",'Top Ranked Jobs'!K7:K55))</f>
        <v/>
      </c>
      <c r="F10" s="19">
        <f t="array" ref="F10">MAX(IF('Top Ranked Jobs'!D7:D55="Goldman Sachs",'Top Ranked Jobs'!K7:K55))</f>
        <v/>
      </c>
      <c r="G10" s="31">
        <f>ROUND(AVERAGEIF('Top Ranked Jobs'!D7:D55,"Goldman Sachs",'Top Ranked Jobs'!L7:L55),1)</f>
        <v/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2" customHeight="1">
      <c r="A11" s="1" t="n"/>
      <c r="B11" s="33" t="inlineStr">
        <is>
          <t>Prudential Financial</t>
        </is>
      </c>
      <c r="C11" s="22">
        <f>COUNTIF('Top Ranked Jobs'!D7:D55,"Prudential Financial")</f>
        <v/>
      </c>
      <c r="D11" s="24">
        <f t="array" ref="D11">MIN(IF('Top Ranked Jobs'!D7:D55="Prudential Financial",'Top Ranked Jobs'!K7:K55))</f>
        <v/>
      </c>
      <c r="E11" s="24">
        <f t="array" ref="E11">MEDIAN(IF('Top Ranked Jobs'!D7:D55="Prudential Financial",'Top Ranked Jobs'!K7:K55))</f>
        <v/>
      </c>
      <c r="F11" s="24">
        <f t="array" ref="F11">MAX(IF('Top Ranked Jobs'!D7:D55="Prudential Financial",'Top Ranked Jobs'!K7:K55))</f>
        <v/>
      </c>
      <c r="G11" s="35">
        <f>ROUND(AVERAGEIF('Top Ranked Jobs'!D7:D55,"Prudential Financial",'Top Ranked Jobs'!L7:L55),1)</f>
        <v/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22" customHeight="1">
      <c r="A12" s="1" t="n"/>
      <c r="B12" s="29" t="inlineStr">
        <is>
          <t>Johnson &amp; Johnson</t>
        </is>
      </c>
      <c r="C12" s="17">
        <f>COUNTIF('Top Ranked Jobs'!D7:D55,"Johnson &amp; Johnson")</f>
        <v/>
      </c>
      <c r="D12" s="19">
        <f t="array" ref="D12">MIN(IF('Top Ranked Jobs'!D7:D55="Johnson &amp; Johnson",'Top Ranked Jobs'!K7:K55))</f>
        <v/>
      </c>
      <c r="E12" s="19">
        <f t="array" ref="E12">MEDIAN(IF('Top Ranked Jobs'!D7:D55="Johnson &amp; Johnson",'Top Ranked Jobs'!K7:K55))</f>
        <v/>
      </c>
      <c r="F12" s="19">
        <f t="array" ref="F12">MAX(IF('Top Ranked Jobs'!D7:D55="Johnson &amp; Johnson",'Top Ranked Jobs'!K7:K55))</f>
        <v/>
      </c>
      <c r="G12" s="31">
        <f>ROUND(AVERAGEIF('Top Ranked Jobs'!D7:D55,"Johnson &amp; Johnson",'Top Ranked Jobs'!L7:L55),1)</f>
        <v/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22" customHeight="1">
      <c r="A13" s="1" t="n"/>
      <c r="B13" s="33" t="inlineStr">
        <is>
          <t>Citi</t>
        </is>
      </c>
      <c r="C13" s="22">
        <f>COUNTIF('Top Ranked Jobs'!D7:D55,"Citi")</f>
        <v/>
      </c>
      <c r="D13" s="24">
        <f t="array" ref="D13">MIN(IF('Top Ranked Jobs'!D7:D55="Citi",'Top Ranked Jobs'!K7:K55))</f>
        <v/>
      </c>
      <c r="E13" s="24">
        <f t="array" ref="E13">MEDIAN(IF('Top Ranked Jobs'!D7:D55="Citi",'Top Ranked Jobs'!K7:K55))</f>
        <v/>
      </c>
      <c r="F13" s="24">
        <f t="array" ref="F13">MAX(IF('Top Ranked Jobs'!D7:D55="Citi",'Top Ranked Jobs'!K7:K55))</f>
        <v/>
      </c>
      <c r="G13" s="35">
        <f>ROUND(AVERAGEIF('Top Ranked Jobs'!D7:D55,"Citi",'Top Ranked Jobs'!L7:L55),1)</f>
        <v/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22" customHeight="1">
      <c r="A14" s="1" t="n"/>
      <c r="B14" s="29" t="inlineStr">
        <is>
          <t>Merck</t>
        </is>
      </c>
      <c r="C14" s="17">
        <f>COUNTIF('Top Ranked Jobs'!D7:D55,"Merck")</f>
        <v/>
      </c>
      <c r="D14" s="19">
        <f t="array" ref="D14">MIN(IF('Top Ranked Jobs'!D7:D55="Merck",'Top Ranked Jobs'!K7:K55))</f>
        <v/>
      </c>
      <c r="E14" s="19">
        <f t="array" ref="E14">MEDIAN(IF('Top Ranked Jobs'!D7:D55="Merck",'Top Ranked Jobs'!K7:K55))</f>
        <v/>
      </c>
      <c r="F14" s="19">
        <f t="array" ref="F14">MAX(IF('Top Ranked Jobs'!D7:D55="Merck",'Top Ranked Jobs'!K7:K55))</f>
        <v/>
      </c>
      <c r="G14" s="31">
        <f>ROUND(AVERAGEIF('Top Ranked Jobs'!D7:D55,"Merck",'Top Ranked Jobs'!L7:L55),1)</f>
        <v/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22" customHeight="1">
      <c r="A15" s="1" t="n"/>
      <c r="B15" s="33" t="inlineStr">
        <is>
          <t>Wells Fargo</t>
        </is>
      </c>
      <c r="C15" s="22">
        <f>COUNTIF('Top Ranked Jobs'!D7:D55,"Wells Fargo")</f>
        <v/>
      </c>
      <c r="D15" s="24">
        <f t="array" ref="D15">MIN(IF('Top Ranked Jobs'!D7:D55="Wells Fargo",'Top Ranked Jobs'!K7:K55))</f>
        <v/>
      </c>
      <c r="E15" s="24">
        <f t="array" ref="E15">MEDIAN(IF('Top Ranked Jobs'!D7:D55="Wells Fargo",'Top Ranked Jobs'!K7:K55))</f>
        <v/>
      </c>
      <c r="F15" s="24">
        <f t="array" ref="F15">MAX(IF('Top Ranked Jobs'!D7:D55="Wells Fargo",'Top Ranked Jobs'!K7:K55))</f>
        <v/>
      </c>
      <c r="G15" s="35">
        <f>ROUND(AVERAGEIF('Top Ranked Jobs'!D7:D55,"Wells Fargo",'Top Ranked Jobs'!L7:L55),1)</f>
        <v/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22" customHeight="1">
      <c r="A16" s="1" t="n"/>
      <c r="B16" s="29" t="inlineStr">
        <is>
          <t>PwC</t>
        </is>
      </c>
      <c r="C16" s="17">
        <f>COUNTIF('Top Ranked Jobs'!D7:D55,"PwC")</f>
        <v/>
      </c>
      <c r="D16" s="19">
        <f t="array" ref="D16">MIN(IF('Top Ranked Jobs'!D7:D55="PwC",'Top Ranked Jobs'!K7:K55))</f>
        <v/>
      </c>
      <c r="E16" s="19">
        <f t="array" ref="E16">MEDIAN(IF('Top Ranked Jobs'!D7:D55="PwC",'Top Ranked Jobs'!K7:K55))</f>
        <v/>
      </c>
      <c r="F16" s="19">
        <f t="array" ref="F16">MAX(IF('Top Ranked Jobs'!D7:D55="PwC",'Top Ranked Jobs'!K7:K55))</f>
        <v/>
      </c>
      <c r="G16" s="31">
        <f>ROUND(AVERAGEIF('Top Ranked Jobs'!D7:D55,"PwC",'Top Ranked Jobs'!L7:L55),1)</f>
        <v/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22" customHeight="1">
      <c r="A17" s="1" t="n"/>
      <c r="B17" s="33" t="inlineStr">
        <is>
          <t>BioNTech US</t>
        </is>
      </c>
      <c r="C17" s="22">
        <f>COUNTIF('Top Ranked Jobs'!D7:D55,"BioNTech US")</f>
        <v/>
      </c>
      <c r="D17" s="24">
        <f t="array" ref="D17">MIN(IF('Top Ranked Jobs'!D7:D55="BioNTech US",'Top Ranked Jobs'!K7:K55))</f>
        <v/>
      </c>
      <c r="E17" s="24">
        <f t="array" ref="E17">MEDIAN(IF('Top Ranked Jobs'!D7:D55="BioNTech US",'Top Ranked Jobs'!K7:K55))</f>
        <v/>
      </c>
      <c r="F17" s="24">
        <f t="array" ref="F17">MAX(IF('Top Ranked Jobs'!D7:D55="BioNTech US",'Top Ranked Jobs'!K7:K55))</f>
        <v/>
      </c>
      <c r="G17" s="35">
        <f>ROUND(AVERAGEIF('Top Ranked Jobs'!D7:D55,"BioNTech US",'Top Ranked Jobs'!L7:L55),1)</f>
        <v/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22" customHeight="1">
      <c r="A18" s="1" t="n"/>
      <c r="B18" s="29" t="inlineStr">
        <is>
          <t>Insmed</t>
        </is>
      </c>
      <c r="C18" s="17">
        <f>COUNTIF('Top Ranked Jobs'!D7:D55,"Insmed")</f>
        <v/>
      </c>
      <c r="D18" s="19">
        <f t="array" ref="D18">MIN(IF('Top Ranked Jobs'!D7:D55="Insmed",'Top Ranked Jobs'!K7:K55))</f>
        <v/>
      </c>
      <c r="E18" s="19">
        <f t="array" ref="E18">MEDIAN(IF('Top Ranked Jobs'!D7:D55="Insmed",'Top Ranked Jobs'!K7:K55))</f>
        <v/>
      </c>
      <c r="F18" s="19">
        <f t="array" ref="F18">MAX(IF('Top Ranked Jobs'!D7:D55="Insmed",'Top Ranked Jobs'!K7:K55))</f>
        <v/>
      </c>
      <c r="G18" s="31">
        <f>ROUND(AVERAGEIF('Top Ranked Jobs'!D7:D55,"Insmed",'Top Ranked Jobs'!L7:L55),1)</f>
        <v/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22" customHeight="1">
      <c r="A19" s="1" t="n"/>
      <c r="B19" s="33" t="inlineStr">
        <is>
          <t>ADP</t>
        </is>
      </c>
      <c r="C19" s="22">
        <f>COUNTIF('Top Ranked Jobs'!D7:D55,"ADP")</f>
        <v/>
      </c>
      <c r="D19" s="24">
        <f t="array" ref="D19">MIN(IF('Top Ranked Jobs'!D7:D55="ADP",'Top Ranked Jobs'!K7:K55))</f>
        <v/>
      </c>
      <c r="E19" s="24">
        <f t="array" ref="E19">MEDIAN(IF('Top Ranked Jobs'!D7:D55="ADP",'Top Ranked Jobs'!K7:K55))</f>
        <v/>
      </c>
      <c r="F19" s="24">
        <f t="array" ref="F19">MAX(IF('Top Ranked Jobs'!D7:D55="ADP",'Top Ranked Jobs'!K7:K55))</f>
        <v/>
      </c>
      <c r="G19" s="35">
        <f>ROUND(AVERAGEIF('Top Ranked Jobs'!D7:D55,"ADP",'Top Ranked Jobs'!L7:L55),1)</f>
        <v/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22" customHeight="1">
      <c r="A20" s="1" t="n"/>
      <c r="B20" s="29" t="inlineStr">
        <is>
          <t>BD (Becton Dickinson)</t>
        </is>
      </c>
      <c r="C20" s="17">
        <f>COUNTIF('Top Ranked Jobs'!D7:D55,"BD (Becton Dickinson)")</f>
        <v/>
      </c>
      <c r="D20" s="19">
        <f t="array" ref="D20">MIN(IF('Top Ranked Jobs'!D7:D55="BD (Becton Dickinson)",'Top Ranked Jobs'!K7:K55))</f>
        <v/>
      </c>
      <c r="E20" s="19">
        <f t="array" ref="E20">MEDIAN(IF('Top Ranked Jobs'!D7:D55="BD (Becton Dickinson)",'Top Ranked Jobs'!K7:K55))</f>
        <v/>
      </c>
      <c r="F20" s="19">
        <f t="array" ref="F20">MAX(IF('Top Ranked Jobs'!D7:D55="BD (Becton Dickinson)",'Top Ranked Jobs'!K7:K55))</f>
        <v/>
      </c>
      <c r="G20" s="31">
        <f>ROUND(AVERAGEIF('Top Ranked Jobs'!D7:D55,"BD (Becton Dickinson)",'Top Ranked Jobs'!L7:L55),1)</f>
        <v/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2" customHeight="1">
      <c r="A21" s="1" t="n"/>
      <c r="B21" s="33" t="inlineStr">
        <is>
          <t>Barclays</t>
        </is>
      </c>
      <c r="C21" s="22">
        <f>COUNTIF('Top Ranked Jobs'!D7:D55,"Barclays")</f>
        <v/>
      </c>
      <c r="D21" s="24">
        <f t="array" ref="D21">MIN(IF('Top Ranked Jobs'!D7:D55="Barclays",'Top Ranked Jobs'!K7:K55))</f>
        <v/>
      </c>
      <c r="E21" s="24">
        <f t="array" ref="E21">MEDIAN(IF('Top Ranked Jobs'!D7:D55="Barclays",'Top Ranked Jobs'!K7:K55))</f>
        <v/>
      </c>
      <c r="F21" s="24">
        <f t="array" ref="F21">MAX(IF('Top Ranked Jobs'!D7:D55="Barclays",'Top Ranked Jobs'!K7:K55))</f>
        <v/>
      </c>
      <c r="G21" s="35">
        <f>ROUND(AVERAGEIF('Top Ranked Jobs'!D7:D55,"Barclays",'Top Ranked Jobs'!L7:L55),1)</f>
        <v/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22" customHeight="1">
      <c r="A22" s="1" t="n"/>
      <c r="B22" s="29" t="inlineStr">
        <is>
          <t>RSM US</t>
        </is>
      </c>
      <c r="C22" s="17">
        <f>COUNTIF('Top Ranked Jobs'!D7:D55,"RSM US")</f>
        <v/>
      </c>
      <c r="D22" s="19">
        <f t="array" ref="D22">MIN(IF('Top Ranked Jobs'!D7:D55="RSM US",'Top Ranked Jobs'!K7:K55))</f>
        <v/>
      </c>
      <c r="E22" s="19">
        <f t="array" ref="E22">MEDIAN(IF('Top Ranked Jobs'!D7:D55="RSM US",'Top Ranked Jobs'!K7:K55))</f>
        <v/>
      </c>
      <c r="F22" s="19">
        <f t="array" ref="F22">MAX(IF('Top Ranked Jobs'!D7:D55="RSM US",'Top Ranked Jobs'!K7:K55))</f>
        <v/>
      </c>
      <c r="G22" s="31">
        <f>ROUND(AVERAGEIF('Top Ranked Jobs'!D7:D55,"RSM US",'Top Ranked Jobs'!L7:L55),1)</f>
        <v/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22" customHeight="1">
      <c r="A23" s="1" t="n"/>
      <c r="B23" s="33" t="inlineStr">
        <is>
          <t>SMBC</t>
        </is>
      </c>
      <c r="C23" s="22">
        <f>COUNTIF('Top Ranked Jobs'!D7:D55,"SMBC")</f>
        <v/>
      </c>
      <c r="D23" s="24">
        <f t="array" ref="D23">MIN(IF('Top Ranked Jobs'!D7:D55="SMBC",'Top Ranked Jobs'!K7:K55))</f>
        <v/>
      </c>
      <c r="E23" s="24">
        <f t="array" ref="E23">MEDIAN(IF('Top Ranked Jobs'!D7:D55="SMBC",'Top Ranked Jobs'!K7:K55))</f>
        <v/>
      </c>
      <c r="F23" s="24">
        <f t="array" ref="F23">MAX(IF('Top Ranked Jobs'!D7:D55="SMBC",'Top Ranked Jobs'!K7:K55))</f>
        <v/>
      </c>
      <c r="G23" s="35">
        <f>ROUND(AVERAGEIF('Top Ranked Jobs'!D7:D55,"SMBC",'Top Ranked Jobs'!L7:L55),1)</f>
        <v/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 ht="22" customHeight="1">
      <c r="A24" s="1" t="n"/>
      <c r="B24" s="29" t="inlineStr">
        <is>
          <t>Bank of America</t>
        </is>
      </c>
      <c r="C24" s="17">
        <f>COUNTIF('Top Ranked Jobs'!D7:D55,"Bank of America")</f>
        <v/>
      </c>
      <c r="D24" s="19">
        <f t="array" ref="D24">MIN(IF('Top Ranked Jobs'!D7:D55="Bank of America",'Top Ranked Jobs'!K7:K55))</f>
        <v/>
      </c>
      <c r="E24" s="19">
        <f t="array" ref="E24">MEDIAN(IF('Top Ranked Jobs'!D7:D55="Bank of America",'Top Ranked Jobs'!K7:K55))</f>
        <v/>
      </c>
      <c r="F24" s="19">
        <f t="array" ref="F24">MAX(IF('Top Ranked Jobs'!D7:D55="Bank of America",'Top Ranked Jobs'!K7:K55))</f>
        <v/>
      </c>
      <c r="G24" s="31">
        <f>ROUND(AVERAGEIF('Top Ranked Jobs'!D7:D55,"Bank of America",'Top Ranked Jobs'!L7:L55),1)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 ht="22" customHeight="1">
      <c r="A25" s="1" t="n"/>
      <c r="B25" s="33" t="inlineStr">
        <is>
          <t>Otsuka America Pharmaceutical</t>
        </is>
      </c>
      <c r="C25" s="22">
        <f>COUNTIF('Top Ranked Jobs'!D7:D55,"Otsuka America Pharmaceutical")</f>
        <v/>
      </c>
      <c r="D25" s="24">
        <f t="array" ref="D25">MIN(IF('Top Ranked Jobs'!D7:D55="Otsuka America Pharmaceutical",'Top Ranked Jobs'!K7:K55))</f>
        <v/>
      </c>
      <c r="E25" s="24">
        <f t="array" ref="E25">MEDIAN(IF('Top Ranked Jobs'!D7:D55="Otsuka America Pharmaceutical",'Top Ranked Jobs'!K7:K55))</f>
        <v/>
      </c>
      <c r="F25" s="24">
        <f t="array" ref="F25">MAX(IF('Top Ranked Jobs'!D7:D55="Otsuka America Pharmaceutical",'Top Ranked Jobs'!K7:K55))</f>
        <v/>
      </c>
      <c r="G25" s="35">
        <f>ROUND(AVERAGEIF('Top Ranked Jobs'!D7:D55,"Otsuka America Pharmaceutical",'Top Ranked Jobs'!L7:L55),1)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22" customHeight="1">
      <c r="A26" s="1" t="n"/>
      <c r="B26" s="29" t="inlineStr">
        <is>
          <t>Panasonic North America</t>
        </is>
      </c>
      <c r="C26" s="17">
        <f>COUNTIF('Top Ranked Jobs'!D7:D55,"Panasonic North America")</f>
        <v/>
      </c>
      <c r="D26" s="19">
        <f t="array" ref="D26">MIN(IF('Top Ranked Jobs'!D7:D55="Panasonic North America",'Top Ranked Jobs'!K7:K55))</f>
        <v/>
      </c>
      <c r="E26" s="19">
        <f t="array" ref="E26">MEDIAN(IF('Top Ranked Jobs'!D7:D55="Panasonic North America",'Top Ranked Jobs'!K7:K55))</f>
        <v/>
      </c>
      <c r="F26" s="19">
        <f t="array" ref="F26">MAX(IF('Top Ranked Jobs'!D7:D55="Panasonic North America",'Top Ranked Jobs'!K7:K55))</f>
        <v/>
      </c>
      <c r="G26" s="31">
        <f>ROUND(AVERAGEIF('Top Ranked Jobs'!D7:D55,"Panasonic North America",'Top Ranked Jobs'!L7:L55),1)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 ht="22" customHeight="1">
      <c r="A27" s="1" t="n"/>
      <c r="B27" s="33" t="inlineStr">
        <is>
          <t>RBC City National</t>
        </is>
      </c>
      <c r="C27" s="22">
        <f>COUNTIF('Top Ranked Jobs'!D7:D55,"RBC City National")</f>
        <v/>
      </c>
      <c r="D27" s="24">
        <f t="array" ref="D27">MIN(IF('Top Ranked Jobs'!D7:D55="RBC City National",'Top Ranked Jobs'!K7:K55))</f>
        <v/>
      </c>
      <c r="E27" s="24">
        <f t="array" ref="E27">MEDIAN(IF('Top Ranked Jobs'!D7:D55="RBC City National",'Top Ranked Jobs'!K7:K55))</f>
        <v/>
      </c>
      <c r="F27" s="24">
        <f t="array" ref="F27">MAX(IF('Top Ranked Jobs'!D7:D55="RBC City National",'Top Ranked Jobs'!K7:K55))</f>
        <v/>
      </c>
      <c r="G27" s="35">
        <f>ROUND(AVERAGEIF('Top Ranked Jobs'!D7:D55,"RBC City National",'Top Ranked Jobs'!L7:L55),1)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22" customHeight="1">
      <c r="A28" s="1" t="n"/>
      <c r="B28" s="29" t="inlineStr">
        <is>
          <t>Embecta</t>
        </is>
      </c>
      <c r="C28" s="17">
        <f>COUNTIF('Top Ranked Jobs'!D7:D55,"Embecta")</f>
        <v/>
      </c>
      <c r="D28" s="19">
        <f t="array" ref="D28">MIN(IF('Top Ranked Jobs'!D7:D55="Embecta",'Top Ranked Jobs'!K7:K55))</f>
        <v/>
      </c>
      <c r="E28" s="19">
        <f t="array" ref="E28">MEDIAN(IF('Top Ranked Jobs'!D7:D55="Embecta",'Top Ranked Jobs'!K7:K55))</f>
        <v/>
      </c>
      <c r="F28" s="19">
        <f t="array" ref="F28">MAX(IF('Top Ranked Jobs'!D7:D55="Embecta",'Top Ranked Jobs'!K7:K55))</f>
        <v/>
      </c>
      <c r="G28" s="31">
        <f>ROUND(AVERAGEIF('Top Ranked Jobs'!D7:D55,"Embecta",'Top Ranked Jobs'!L7:L55),1)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 ht="22" customHeight="1">
      <c r="A29" s="1" t="n"/>
      <c r="B29" s="33" t="inlineStr">
        <is>
          <t>Legend Biotech</t>
        </is>
      </c>
      <c r="C29" s="22">
        <f>COUNTIF('Top Ranked Jobs'!D7:D55,"Legend Biotech")</f>
        <v/>
      </c>
      <c r="D29" s="24">
        <f t="array" ref="D29">MIN(IF('Top Ranked Jobs'!D7:D55="Legend Biotech",'Top Ranked Jobs'!K7:K55))</f>
        <v/>
      </c>
      <c r="E29" s="24">
        <f t="array" ref="E29">MEDIAN(IF('Top Ranked Jobs'!D7:D55="Legend Biotech",'Top Ranked Jobs'!K7:K55))</f>
        <v/>
      </c>
      <c r="F29" s="24">
        <f t="array" ref="F29">MAX(IF('Top Ranked Jobs'!D7:D55="Legend Biotech",'Top Ranked Jobs'!K7:K55))</f>
        <v/>
      </c>
      <c r="G29" s="35">
        <f>ROUND(AVERAGEIF('Top Ranked Jobs'!D7:D55,"Legend Biotech",'Top Ranked Jobs'!L7:L55),1)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 ht="22" customHeight="1">
      <c r="A30" s="1" t="n"/>
      <c r="B30" s="29" t="inlineStr">
        <is>
          <t>TD Bank</t>
        </is>
      </c>
      <c r="C30" s="17">
        <f>COUNTIF('Top Ranked Jobs'!D7:D55,"TD Bank")</f>
        <v/>
      </c>
      <c r="D30" s="19">
        <f t="array" ref="D30">MIN(IF('Top Ranked Jobs'!D7:D55="TD Bank",'Top Ranked Jobs'!K7:K55))</f>
        <v/>
      </c>
      <c r="E30" s="19">
        <f t="array" ref="E30">MEDIAN(IF('Top Ranked Jobs'!D7:D55="TD Bank",'Top Ranked Jobs'!K7:K55))</f>
        <v/>
      </c>
      <c r="F30" s="19">
        <f t="array" ref="F30">MAX(IF('Top Ranked Jobs'!D7:D55="TD Bank",'Top Ranked Jobs'!K7:K55))</f>
        <v/>
      </c>
      <c r="G30" s="31">
        <f>ROUND(AVERAGEIF('Top Ranked Jobs'!D7:D55,"TD Bank",'Top Ranked Jobs'!L7:L55),1)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 ht="22" customHeight="1">
      <c r="A31" s="1" t="n"/>
      <c r="B31" s="33" t="inlineStr">
        <is>
          <t>State Street</t>
        </is>
      </c>
      <c r="C31" s="22">
        <f>COUNTIF('Top Ranked Jobs'!D7:D55,"State Street")</f>
        <v/>
      </c>
      <c r="D31" s="24">
        <f t="array" ref="D31">MIN(IF('Top Ranked Jobs'!D7:D55="State Street",'Top Ranked Jobs'!K7:K55))</f>
        <v/>
      </c>
      <c r="E31" s="24">
        <f t="array" ref="E31">MEDIAN(IF('Top Ranked Jobs'!D7:D55="State Street",'Top Ranked Jobs'!K7:K55))</f>
        <v/>
      </c>
      <c r="F31" s="24">
        <f t="array" ref="F31">MAX(IF('Top Ranked Jobs'!D7:D55="State Street",'Top Ranked Jobs'!K7:K55))</f>
        <v/>
      </c>
      <c r="G31" s="35">
        <f>ROUND(AVERAGEIF('Top Ranked Jobs'!D7:D55,"State Street",'Top Ranked Jobs'!L7:L55),1)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 ht="22" customHeight="1">
      <c r="A32" s="1" t="n"/>
      <c r="B32" s="29" t="inlineStr">
        <is>
          <t>NRG Energy</t>
        </is>
      </c>
      <c r="C32" s="17">
        <f>COUNTIF('Top Ranked Jobs'!D7:D55,"NRG Energy")</f>
        <v/>
      </c>
      <c r="D32" s="19">
        <f t="array" ref="D32">MIN(IF('Top Ranked Jobs'!D7:D55="NRG Energy",'Top Ranked Jobs'!K7:K55))</f>
        <v/>
      </c>
      <c r="E32" s="19">
        <f t="array" ref="E32">MEDIAN(IF('Top Ranked Jobs'!D7:D55="NRG Energy",'Top Ranked Jobs'!K7:K55))</f>
        <v/>
      </c>
      <c r="F32" s="19">
        <f t="array" ref="F32">MAX(IF('Top Ranked Jobs'!D7:D55="NRG Energy",'Top Ranked Jobs'!K7:K55))</f>
        <v/>
      </c>
      <c r="G32" s="31">
        <f>ROUND(AVERAGEIF('Top Ranked Jobs'!D7:D55,"NRG Energy",'Top Ranked Jobs'!L7:L55),1)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 ht="22" customHeight="1">
      <c r="A33" s="1" t="n"/>
      <c r="B33" s="33" t="inlineStr">
        <is>
          <t>Avis Budget Group</t>
        </is>
      </c>
      <c r="C33" s="22">
        <f>COUNTIF('Top Ranked Jobs'!D7:D55,"Avis Budget Group")</f>
        <v/>
      </c>
      <c r="D33" s="24">
        <f t="array" ref="D33">MIN(IF('Top Ranked Jobs'!D7:D55="Avis Budget Group",'Top Ranked Jobs'!K7:K55))</f>
        <v/>
      </c>
      <c r="E33" s="24">
        <f t="array" ref="E33">MEDIAN(IF('Top Ranked Jobs'!D7:D55="Avis Budget Group",'Top Ranked Jobs'!K7:K55))</f>
        <v/>
      </c>
      <c r="F33" s="24">
        <f t="array" ref="F33">MAX(IF('Top Ranked Jobs'!D7:D55="Avis Budget Group",'Top Ranked Jobs'!K7:K55))</f>
        <v/>
      </c>
      <c r="G33" s="35">
        <f>ROUND(AVERAGEIF('Top Ranked Jobs'!D7:D55,"Avis Budget Group",'Top Ranked Jobs'!L7:L55),1)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22" customHeight="1">
      <c r="A34" s="1" t="n"/>
      <c r="B34" s="29" t="inlineStr">
        <is>
          <t>NJIT</t>
        </is>
      </c>
      <c r="C34" s="17">
        <f>COUNTIF('Top Ranked Jobs'!D7:D55,"NJIT")</f>
        <v/>
      </c>
      <c r="D34" s="19">
        <f t="array" ref="D34">MIN(IF('Top Ranked Jobs'!D7:D55="NJIT",'Top Ranked Jobs'!K7:K55))</f>
        <v/>
      </c>
      <c r="E34" s="19">
        <f t="array" ref="E34">MEDIAN(IF('Top Ranked Jobs'!D7:D55="NJIT",'Top Ranked Jobs'!K7:K55))</f>
        <v/>
      </c>
      <c r="F34" s="19">
        <f t="array" ref="F34">MAX(IF('Top Ranked Jobs'!D7:D55="NJIT",'Top Ranked Jobs'!K7:K55))</f>
        <v/>
      </c>
      <c r="G34" s="31">
        <f>ROUND(AVERAGEIF('Top Ranked Jobs'!D7:D55,"NJIT",'Top Ranked Jobs'!L7:L55),1)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22" customHeight="1">
      <c r="A35" s="1" t="n"/>
      <c r="B35" s="33" t="inlineStr">
        <is>
          <t>Princeton University</t>
        </is>
      </c>
      <c r="C35" s="22">
        <f>COUNTIF('Top Ranked Jobs'!D7:D55,"Princeton University")</f>
        <v/>
      </c>
      <c r="D35" s="24">
        <f t="array" ref="D35">MIN(IF('Top Ranked Jobs'!D7:D55="Princeton University",'Top Ranked Jobs'!K7:K55))</f>
        <v/>
      </c>
      <c r="E35" s="24">
        <f t="array" ref="E35">MEDIAN(IF('Top Ranked Jobs'!D7:D55="Princeton University",'Top Ranked Jobs'!K7:K55))</f>
        <v/>
      </c>
      <c r="F35" s="24">
        <f t="array" ref="F35">MAX(IF('Top Ranked Jobs'!D7:D55="Princeton University",'Top Ranked Jobs'!K7:K55))</f>
        <v/>
      </c>
      <c r="G35" s="35">
        <f>ROUND(AVERAGEIF('Top Ranked Jobs'!D7:D55,"Princeton University",'Top Ranked Jobs'!L7:L55),1)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 ht="22" customHeight="1">
      <c r="A36" s="1" t="n"/>
      <c r="B36" s="29" t="inlineStr">
        <is>
          <t>Crowe LLP</t>
        </is>
      </c>
      <c r="C36" s="17">
        <f>COUNTIF('Top Ranked Jobs'!D7:D55,"Crowe LLP")</f>
        <v/>
      </c>
      <c r="D36" s="19">
        <f t="array" ref="D36">MIN(IF('Top Ranked Jobs'!D7:D55="Crowe LLP",'Top Ranked Jobs'!K7:K55))</f>
        <v/>
      </c>
      <c r="E36" s="19">
        <f t="array" ref="E36">MEDIAN(IF('Top Ranked Jobs'!D7:D55="Crowe LLP",'Top Ranked Jobs'!K7:K55))</f>
        <v/>
      </c>
      <c r="F36" s="19">
        <f t="array" ref="F36">MAX(IF('Top Ranked Jobs'!D7:D55="Crowe LLP",'Top Ranked Jobs'!K7:K55))</f>
        <v/>
      </c>
      <c r="G36" s="31">
        <f>ROUND(AVERAGEIF('Top Ranked Jobs'!D7:D55,"Crowe LLP",'Top Ranked Jobs'!L7:L55),1)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 ht="22" customHeight="1">
      <c r="A37" s="1" t="n"/>
      <c r="B37" s="33" t="inlineStr">
        <is>
          <t>SOLV Energy</t>
        </is>
      </c>
      <c r="C37" s="22">
        <f>COUNTIF('Top Ranked Jobs'!D7:D55,"SOLV Energy")</f>
        <v/>
      </c>
      <c r="D37" s="24">
        <f t="array" ref="D37">MIN(IF('Top Ranked Jobs'!D7:D55="SOLV Energy",'Top Ranked Jobs'!K7:K55))</f>
        <v/>
      </c>
      <c r="E37" s="24">
        <f t="array" ref="E37">MEDIAN(IF('Top Ranked Jobs'!D7:D55="SOLV Energy",'Top Ranked Jobs'!K7:K55))</f>
        <v/>
      </c>
      <c r="F37" s="24">
        <f t="array" ref="F37">MAX(IF('Top Ranked Jobs'!D7:D55="SOLV Energy",'Top Ranked Jobs'!K7:K55))</f>
        <v/>
      </c>
      <c r="G37" s="35">
        <f>ROUND(AVERAGEIF('Top Ranked Jobs'!D7:D55,"SOLV Energy",'Top Ranked Jobs'!L7:L55),1)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 ht="22" customHeight="1">
      <c r="A38" s="1" t="n"/>
      <c r="B38" s="29" t="inlineStr">
        <is>
          <t>Baker Tilly</t>
        </is>
      </c>
      <c r="C38" s="17">
        <f>COUNTIF('Top Ranked Jobs'!D7:D55,"Baker Tilly")</f>
        <v/>
      </c>
      <c r="D38" s="19">
        <f t="array" ref="D38">MIN(IF('Top Ranked Jobs'!D7:D55="Baker Tilly",'Top Ranked Jobs'!K7:K55))</f>
        <v/>
      </c>
      <c r="E38" s="19">
        <f t="array" ref="E38">MEDIAN(IF('Top Ranked Jobs'!D7:D55="Baker Tilly",'Top Ranked Jobs'!K7:K55))</f>
        <v/>
      </c>
      <c r="F38" s="19">
        <f t="array" ref="F38">MAX(IF('Top Ranked Jobs'!D7:D55="Baker Tilly",'Top Ranked Jobs'!K7:K55))</f>
        <v/>
      </c>
      <c r="G38" s="31">
        <f>ROUND(AVERAGEIF('Top Ranked Jobs'!D7:D55,"Baker Tilly",'Top Ranked Jobs'!L7:L55),1)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 ht="22" customHeight="1">
      <c r="A39" s="1" t="n"/>
      <c r="B39" s="33" t="inlineStr">
        <is>
          <t>Seton Hall University</t>
        </is>
      </c>
      <c r="C39" s="22">
        <f>COUNTIF('Top Ranked Jobs'!D7:D55,"Seton Hall University")</f>
        <v/>
      </c>
      <c r="D39" s="24">
        <f t="array" ref="D39">MIN(IF('Top Ranked Jobs'!D7:D55="Seton Hall University",'Top Ranked Jobs'!K7:K55))</f>
        <v/>
      </c>
      <c r="E39" s="24">
        <f t="array" ref="E39">MEDIAN(IF('Top Ranked Jobs'!D7:D55="Seton Hall University",'Top Ranked Jobs'!K7:K55))</f>
        <v/>
      </c>
      <c r="F39" s="24">
        <f t="array" ref="F39">MAX(IF('Top Ranked Jobs'!D7:D55="Seton Hall University",'Top Ranked Jobs'!K7:K55))</f>
        <v/>
      </c>
      <c r="G39" s="35">
        <f>ROUND(AVERAGEIF('Top Ranked Jobs'!D7:D55,"Seton Hall University",'Top Ranked Jobs'!L7:L55),1)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 ht="22" customHeight="1">
      <c r="A40" s="1" t="n"/>
      <c r="B40" s="29" t="inlineStr">
        <is>
          <t>Rutgers University</t>
        </is>
      </c>
      <c r="C40" s="17">
        <f>COUNTIF('Top Ranked Jobs'!D7:D55,"Rutgers University")</f>
        <v/>
      </c>
      <c r="D40" s="19">
        <f t="array" ref="D40">MIN(IF('Top Ranked Jobs'!D7:D55="Rutgers University",'Top Ranked Jobs'!K7:K55))</f>
        <v/>
      </c>
      <c r="E40" s="19">
        <f t="array" ref="E40">MEDIAN(IF('Top Ranked Jobs'!D7:D55="Rutgers University",'Top Ranked Jobs'!K7:K55))</f>
        <v/>
      </c>
      <c r="F40" s="19">
        <f t="array" ref="F40">MAX(IF('Top Ranked Jobs'!D7:D55="Rutgers University",'Top Ranked Jobs'!K7:K55))</f>
        <v/>
      </c>
      <c r="G40" s="31">
        <f>ROUND(AVERAGEIF('Top Ranked Jobs'!D7:D55,"Rutgers University",'Top Ranked Jobs'!L7:L55),1)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 ht="22" customHeight="1">
      <c r="A41" s="1" t="n"/>
      <c r="B41" s="33" t="inlineStr">
        <is>
          <t>Kearny Bank</t>
        </is>
      </c>
      <c r="C41" s="22">
        <f>COUNTIF('Top Ranked Jobs'!D7:D55,"Kearny Bank")</f>
        <v/>
      </c>
      <c r="D41" s="24">
        <f t="array" ref="D41">MIN(IF('Top Ranked Jobs'!D7:D55="Kearny Bank",'Top Ranked Jobs'!K7:K55))</f>
        <v/>
      </c>
      <c r="E41" s="24">
        <f t="array" ref="E41">MEDIAN(IF('Top Ranked Jobs'!D7:D55="Kearny Bank",'Top Ranked Jobs'!K7:K55))</f>
        <v/>
      </c>
      <c r="F41" s="24">
        <f t="array" ref="F41">MAX(IF('Top Ranked Jobs'!D7:D55="Kearny Bank",'Top Ranked Jobs'!K7:K55))</f>
        <v/>
      </c>
      <c r="G41" s="35">
        <f>ROUND(AVERAGEIF('Top Ranked Jobs'!D7:D55,"Kearny Bank",'Top Ranked Jobs'!L7:L55),1)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 ht="22" customHeight="1">
      <c r="A42" s="1" t="n"/>
      <c r="B42" s="29" t="inlineStr">
        <is>
          <t>Robert Half (Mgmt Resources)</t>
        </is>
      </c>
      <c r="C42" s="17">
        <f>COUNTIF('Top Ranked Jobs'!D7:D55,"Robert Half (Mgmt Resources)")</f>
        <v/>
      </c>
      <c r="D42" s="19">
        <f t="array" ref="D42">MIN(IF('Top Ranked Jobs'!D7:D55="Robert Half (Mgmt Resources)",'Top Ranked Jobs'!K7:K55))</f>
        <v/>
      </c>
      <c r="E42" s="19">
        <f t="array" ref="E42">MEDIAN(IF('Top Ranked Jobs'!D7:D55="Robert Half (Mgmt Resources)",'Top Ranked Jobs'!K7:K55))</f>
        <v/>
      </c>
      <c r="F42" s="19">
        <f t="array" ref="F42">MAX(IF('Top Ranked Jobs'!D7:D55="Robert Half (Mgmt Resources)",'Top Ranked Jobs'!K7:K55))</f>
        <v/>
      </c>
      <c r="G42" s="31">
        <f>ROUND(AVERAGEIF('Top Ranked Jobs'!D7:D55,"Robert Half (Mgmt Resources)",'Top Ranked Jobs'!L7:L55),1)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 ht="22" customHeight="1">
      <c r="A43" s="1" t="n"/>
      <c r="B43" s="33" t="inlineStr">
        <is>
          <t>Stevens Institute of Technology</t>
        </is>
      </c>
      <c r="C43" s="22">
        <f>COUNTIF('Top Ranked Jobs'!D7:D55,"Stevens Institute of Technology")</f>
        <v/>
      </c>
      <c r="D43" s="24">
        <f t="array" ref="D43">MIN(IF('Top Ranked Jobs'!D7:D55="Stevens Institute of Technology",'Top Ranked Jobs'!K7:K55))</f>
        <v/>
      </c>
      <c r="E43" s="24">
        <f t="array" ref="E43">MEDIAN(IF('Top Ranked Jobs'!D7:D55="Stevens Institute of Technology",'Top Ranked Jobs'!K7:K55))</f>
        <v/>
      </c>
      <c r="F43" s="24">
        <f t="array" ref="F43">MAX(IF('Top Ranked Jobs'!D7:D55="Stevens Institute of Technology",'Top Ranked Jobs'!K7:K55))</f>
        <v/>
      </c>
      <c r="G43" s="35">
        <f>ROUND(AVERAGEIF('Top Ranked Jobs'!D7:D55,"Stevens Institute of Technology",'Top Ranked Jobs'!L7:L55),1)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 ht="22" customHeight="1">
      <c r="A44" s="1" t="n"/>
      <c r="B44" s="29" t="inlineStr">
        <is>
          <t>FIU Online</t>
        </is>
      </c>
      <c r="C44" s="17">
        <f>COUNTIF('Top Ranked Jobs'!D7:D55,"FIU Online")</f>
        <v/>
      </c>
      <c r="D44" s="19">
        <f t="array" ref="D44">MIN(IF('Top Ranked Jobs'!D7:D55="FIU Online",'Top Ranked Jobs'!K7:K55))</f>
        <v/>
      </c>
      <c r="E44" s="19">
        <f t="array" ref="E44">MEDIAN(IF('Top Ranked Jobs'!D7:D55="FIU Online",'Top Ranked Jobs'!K7:K55))</f>
        <v/>
      </c>
      <c r="F44" s="19">
        <f t="array" ref="F44">MAX(IF('Top Ranked Jobs'!D7:D55="FIU Online",'Top Ranked Jobs'!K7:K55))</f>
        <v/>
      </c>
      <c r="G44" s="31">
        <f>ROUND(AVERAGEIF('Top Ranked Jobs'!D7:D55,"FIU Online",'Top Ranked Jobs'!L7:L55),1)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 ht="22" customHeight="1">
      <c r="A45" s="1" t="n"/>
      <c r="B45" s="33" t="inlineStr">
        <is>
          <t>Rider University</t>
        </is>
      </c>
      <c r="C45" s="22">
        <f>COUNTIF('Top Ranked Jobs'!D7:D55,"Rider University")</f>
        <v/>
      </c>
      <c r="D45" s="24">
        <f t="array" ref="D45">MIN(IF('Top Ranked Jobs'!D7:D55="Rider University",'Top Ranked Jobs'!K7:K55))</f>
        <v/>
      </c>
      <c r="E45" s="24">
        <f t="array" ref="E45">MEDIAN(IF('Top Ranked Jobs'!D7:D55="Rider University",'Top Ranked Jobs'!K7:K55))</f>
        <v/>
      </c>
      <c r="F45" s="24">
        <f t="array" ref="F45">MAX(IF('Top Ranked Jobs'!D7:D55="Rider University",'Top Ranked Jobs'!K7:K55))</f>
        <v/>
      </c>
      <c r="G45" s="35">
        <f>ROUND(AVERAGEIF('Top Ranked Jobs'!D7:D55,"Rider University",'Top Ranked Jobs'!L7:L55),1)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 ht="22" customHeight="1">
      <c r="A46" s="1" t="n"/>
      <c r="B46" s="29" t="inlineStr">
        <is>
          <t>Saint Peter's University</t>
        </is>
      </c>
      <c r="C46" s="17">
        <f>COUNTIF('Top Ranked Jobs'!D7:D55,"Saint Peter's University")</f>
        <v/>
      </c>
      <c r="D46" s="19">
        <f t="array" ref="D46">MIN(IF('Top Ranked Jobs'!D7:D55="Saint Peter's University",'Top Ranked Jobs'!K7:K55))</f>
        <v/>
      </c>
      <c r="E46" s="19">
        <f t="array" ref="E46">MEDIAN(IF('Top Ranked Jobs'!D7:D55="Saint Peter's University",'Top Ranked Jobs'!K7:K55))</f>
        <v/>
      </c>
      <c r="F46" s="19">
        <f t="array" ref="F46">MAX(IF('Top Ranked Jobs'!D7:D55="Saint Peter's University",'Top Ranked Jobs'!K7:K55))</f>
        <v/>
      </c>
      <c r="G46" s="31">
        <f>ROUND(AVERAGEIF('Top Ranked Jobs'!D7:D55,"Saint Peter's University",'Top Ranked Jobs'!L7:L55),1)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 ht="22" customHeight="1">
      <c r="A47" s="1" t="n"/>
      <c r="B47" s="33" t="inlineStr">
        <is>
          <t>Fairleigh Dickinson University</t>
        </is>
      </c>
      <c r="C47" s="22">
        <f>COUNTIF('Top Ranked Jobs'!D7:D55,"Fairleigh Dickinson University")</f>
        <v/>
      </c>
      <c r="D47" s="24">
        <f t="array" ref="D47">MIN(IF('Top Ranked Jobs'!D7:D55="Fairleigh Dickinson University",'Top Ranked Jobs'!K7:K55))</f>
        <v/>
      </c>
      <c r="E47" s="24">
        <f t="array" ref="E47">MEDIAN(IF('Top Ranked Jobs'!D7:D55="Fairleigh Dickinson University",'Top Ranked Jobs'!K7:K55))</f>
        <v/>
      </c>
      <c r="F47" s="24">
        <f t="array" ref="F47">MAX(IF('Top Ranked Jobs'!D7:D55="Fairleigh Dickinson University",'Top Ranked Jobs'!K7:K55))</f>
        <v/>
      </c>
      <c r="G47" s="35">
        <f>ROUND(AVERAGEIF('Top Ranked Jobs'!D7:D55,"Fairleigh Dickinson University",'Top Ranked Jobs'!L7:L55),1)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 ht="22" customHeight="1">
      <c r="A48" s="1" t="n"/>
      <c r="B48" s="29" t="inlineStr">
        <is>
          <t>Kean University</t>
        </is>
      </c>
      <c r="C48" s="17">
        <f>COUNTIF('Top Ranked Jobs'!D7:D55,"Kean University")</f>
        <v/>
      </c>
      <c r="D48" s="19">
        <f t="array" ref="D48">MIN(IF('Top Ranked Jobs'!D7:D55="Kean University",'Top Ranked Jobs'!K7:K55))</f>
        <v/>
      </c>
      <c r="E48" s="19">
        <f t="array" ref="E48">MEDIAN(IF('Top Ranked Jobs'!D7:D55="Kean University",'Top Ranked Jobs'!K7:K55))</f>
        <v/>
      </c>
      <c r="F48" s="19">
        <f t="array" ref="F48">MAX(IF('Top Ranked Jobs'!D7:D55="Kean University",'Top Ranked Jobs'!K7:K55))</f>
        <v/>
      </c>
      <c r="G48" s="31">
        <f>ROUND(AVERAGEIF('Top Ranked Jobs'!D7:D55,"Kean University",'Top Ranked Jobs'!L7:L55),1)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 ht="22" customHeight="1">
      <c r="A49" s="1" t="n"/>
      <c r="B49" s="33" t="inlineStr">
        <is>
          <t>New Jersey City University</t>
        </is>
      </c>
      <c r="C49" s="22">
        <f>COUNTIF('Top Ranked Jobs'!D7:D55,"New Jersey City University")</f>
        <v/>
      </c>
      <c r="D49" s="24">
        <f t="array" ref="D49">MIN(IF('Top Ranked Jobs'!D7:D55="New Jersey City University",'Top Ranked Jobs'!K7:K55))</f>
        <v/>
      </c>
      <c r="E49" s="24">
        <f t="array" ref="E49">MEDIAN(IF('Top Ranked Jobs'!D7:D55="New Jersey City University",'Top Ranked Jobs'!K7:K55))</f>
        <v/>
      </c>
      <c r="F49" s="24">
        <f t="array" ref="F49">MAX(IF('Top Ranked Jobs'!D7:D55="New Jersey City University",'Top Ranked Jobs'!K7:K55))</f>
        <v/>
      </c>
      <c r="G49" s="35">
        <f>ROUND(AVERAGEIF('Top Ranked Jobs'!D7:D55,"New Jersey City University",'Top Ranked Jobs'!L7:L55),1)</f>
        <v/>
      </c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 ht="22" customHeight="1">
      <c r="A50" s="1" t="n"/>
      <c r="B50" s="29" t="inlineStr">
        <is>
          <t>Montclair State University</t>
        </is>
      </c>
      <c r="C50" s="17">
        <f>COUNTIF('Top Ranked Jobs'!D7:D55,"Montclair State University")</f>
        <v/>
      </c>
      <c r="D50" s="19">
        <f t="array" ref="D50">MIN(IF('Top Ranked Jobs'!D7:D55="Montclair State University",'Top Ranked Jobs'!K7:K55))</f>
        <v/>
      </c>
      <c r="E50" s="19">
        <f t="array" ref="E50">MEDIAN(IF('Top Ranked Jobs'!D7:D55="Montclair State University",'Top Ranked Jobs'!K7:K55))</f>
        <v/>
      </c>
      <c r="F50" s="19">
        <f t="array" ref="F50">MAX(IF('Top Ranked Jobs'!D7:D55="Montclair State University",'Top Ranked Jobs'!K7:K55))</f>
        <v/>
      </c>
      <c r="G50" s="31">
        <f>ROUND(AVERAGEIF('Top Ranked Jobs'!D7:D55,"Montclair State University",'Top Ranked Jobs'!L7:L55),1)</f>
        <v/>
      </c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 ht="22" customHeight="1">
      <c r="A51" s="1" t="n"/>
      <c r="B51" s="33" t="inlineStr">
        <is>
          <t>William Paterson University</t>
        </is>
      </c>
      <c r="C51" s="22">
        <f>COUNTIF('Top Ranked Jobs'!D7:D55,"William Paterson University")</f>
        <v/>
      </c>
      <c r="D51" s="24">
        <f t="array" ref="D51">MIN(IF('Top Ranked Jobs'!D7:D55="William Paterson University",'Top Ranked Jobs'!K7:K55))</f>
        <v/>
      </c>
      <c r="E51" s="24">
        <f t="array" ref="E51">MEDIAN(IF('Top Ranked Jobs'!D7:D55="William Paterson University",'Top Ranked Jobs'!K7:K55))</f>
        <v/>
      </c>
      <c r="F51" s="24">
        <f t="array" ref="F51">MAX(IF('Top Ranked Jobs'!D7:D55="William Paterson University",'Top Ranked Jobs'!K7:K55))</f>
        <v/>
      </c>
      <c r="G51" s="35">
        <f>ROUND(AVERAGEIF('Top Ranked Jobs'!D7:D55,"William Paterson University",'Top Ranked Jobs'!L7:L55),1)</f>
        <v/>
      </c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 ht="22" customHeight="1">
      <c r="A52" s="1" t="n"/>
      <c r="B52" s="29" t="inlineStr">
        <is>
          <t>Mercer County Community College</t>
        </is>
      </c>
      <c r="C52" s="17">
        <f>COUNTIF('Top Ranked Jobs'!D7:D55,"Mercer County Community College")</f>
        <v/>
      </c>
      <c r="D52" s="19">
        <f t="array" ref="D52">MIN(IF('Top Ranked Jobs'!D7:D55="Mercer County Community College",'Top Ranked Jobs'!K7:K55))</f>
        <v/>
      </c>
      <c r="E52" s="19">
        <f t="array" ref="E52">MEDIAN(IF('Top Ranked Jobs'!D7:D55="Mercer County Community College",'Top Ranked Jobs'!K7:K55))</f>
        <v/>
      </c>
      <c r="F52" s="19">
        <f t="array" ref="F52">MAX(IF('Top Ranked Jobs'!D7:D55="Mercer County Community College",'Top Ranked Jobs'!K7:K55))</f>
        <v/>
      </c>
      <c r="G52" s="31">
        <f>ROUND(AVERAGEIF('Top Ranked Jobs'!D7:D55,"Mercer County Community College",'Top Ranked Jobs'!L7:L55),1)</f>
        <v/>
      </c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 ht="22" customHeight="1">
      <c r="A53" s="1" t="n"/>
      <c r="B53" s="33" t="inlineStr">
        <is>
          <t>Essex County College</t>
        </is>
      </c>
      <c r="C53" s="22">
        <f>COUNTIF('Top Ranked Jobs'!D7:D55,"Essex County College")</f>
        <v/>
      </c>
      <c r="D53" s="24">
        <f t="array" ref="D53">MIN(IF('Top Ranked Jobs'!D7:D55="Essex County College",'Top Ranked Jobs'!K7:K55))</f>
        <v/>
      </c>
      <c r="E53" s="24">
        <f t="array" ref="E53">MEDIAN(IF('Top Ranked Jobs'!D7:D55="Essex County College",'Top Ranked Jobs'!K7:K55))</f>
        <v/>
      </c>
      <c r="F53" s="24">
        <f t="array" ref="F53">MAX(IF('Top Ranked Jobs'!D7:D55="Essex County College",'Top Ranked Jobs'!K7:K55))</f>
        <v/>
      </c>
      <c r="G53" s="35">
        <f>ROUND(AVERAGEIF('Top Ranked Jobs'!D7:D55,"Essex County College",'Top Ranked Jobs'!L7:L55),1)</f>
        <v/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9" customWidth="1" min="3" max="3"/>
    <col width="14" customWidth="1" min="4" max="4"/>
    <col width="14" customWidth="1" min="5" max="5"/>
    <col width="14" customWidth="1" min="6" max="6"/>
    <col width="11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6" customHeight="1">
      <c r="A2" s="1" t="n"/>
      <c r="B2" s="27" t="inlineStr">
        <is>
          <t>By Type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26" customHeight="1">
      <c r="A5" s="1" t="n"/>
      <c r="B5" s="16" t="inlineStr">
        <is>
          <t>Category</t>
        </is>
      </c>
      <c r="C5" s="16" t="inlineStr">
        <is>
          <t>Roles</t>
        </is>
      </c>
      <c r="D5" s="16" t="inlineStr">
        <is>
          <t>Min Sal Mid</t>
        </is>
      </c>
      <c r="E5" s="16" t="inlineStr">
        <is>
          <t>Median Sal Mid</t>
        </is>
      </c>
      <c r="F5" s="16" t="inlineStr">
        <is>
          <t>Max Sal Mid</t>
        </is>
      </c>
      <c r="G5" s="16" t="inlineStr">
        <is>
          <t>Avg Fit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22" customHeight="1">
      <c r="A6" s="1" t="n"/>
      <c r="B6" s="29" t="inlineStr">
        <is>
          <t>G-SIB Bank</t>
        </is>
      </c>
      <c r="C6" s="17">
        <f>COUNTIF('Top Ranked Jobs'!G7:G55,"G-SIB Bank")</f>
        <v/>
      </c>
      <c r="D6" s="19">
        <f t="array" ref="D6">MIN(IF('Top Ranked Jobs'!G7:G55="G-SIB Bank",'Top Ranked Jobs'!K7:K55))</f>
        <v/>
      </c>
      <c r="E6" s="19">
        <f t="array" ref="E6">MEDIAN(IF('Top Ranked Jobs'!G7:G55="G-SIB Bank",'Top Ranked Jobs'!K7:K55))</f>
        <v/>
      </c>
      <c r="F6" s="19">
        <f t="array" ref="F6">MAX(IF('Top Ranked Jobs'!G7:G55="G-SIB Bank",'Top Ranked Jobs'!K7:K55))</f>
        <v/>
      </c>
      <c r="G6" s="31">
        <f>ROUND(AVERAGEIF('Top Ranked Jobs'!G7:G55,"G-SIB Bank",'Top Ranked Jobs'!L7:L55),1)</f>
        <v/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22" customHeight="1">
      <c r="A7" s="1" t="n"/>
      <c r="B7" s="33" t="inlineStr">
        <is>
          <t>Corporate Pharma</t>
        </is>
      </c>
      <c r="C7" s="22">
        <f>COUNTIF('Top Ranked Jobs'!G7:G55,"Corporate Pharma")</f>
        <v/>
      </c>
      <c r="D7" s="24">
        <f t="array" ref="D7">MIN(IF('Top Ranked Jobs'!G7:G55="Corporate Pharma",'Top Ranked Jobs'!K7:K55))</f>
        <v/>
      </c>
      <c r="E7" s="24">
        <f t="array" ref="E7">MEDIAN(IF('Top Ranked Jobs'!G7:G55="Corporate Pharma",'Top Ranked Jobs'!K7:K55))</f>
        <v/>
      </c>
      <c r="F7" s="24">
        <f t="array" ref="F7">MAX(IF('Top Ranked Jobs'!G7:G55="Corporate Pharma",'Top Ranked Jobs'!K7:K55))</f>
        <v/>
      </c>
      <c r="G7" s="35">
        <f>ROUND(AVERAGEIF('Top Ranked Jobs'!G7:G55,"Corporate Pharma",'Top Ranked Jobs'!L7:L55),1)</f>
        <v/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22" customHeight="1">
      <c r="A8" s="1" t="n"/>
      <c r="B8" s="29" t="inlineStr">
        <is>
          <t>Corporate</t>
        </is>
      </c>
      <c r="C8" s="17">
        <f>COUNTIF('Top Ranked Jobs'!G7:G55,"Corporate")</f>
        <v/>
      </c>
      <c r="D8" s="19">
        <f t="array" ref="D8">MIN(IF('Top Ranked Jobs'!G7:G55="Corporate",'Top Ranked Jobs'!K7:K55))</f>
        <v/>
      </c>
      <c r="E8" s="19">
        <f t="array" ref="E8">MEDIAN(IF('Top Ranked Jobs'!G7:G55="Corporate",'Top Ranked Jobs'!K7:K55))</f>
        <v/>
      </c>
      <c r="F8" s="19">
        <f t="array" ref="F8">MAX(IF('Top Ranked Jobs'!G7:G55="Corporate",'Top Ranked Jobs'!K7:K55))</f>
        <v/>
      </c>
      <c r="G8" s="31">
        <f>ROUND(AVERAGEIF('Top Ranked Jobs'!G7:G55,"Corporate",'Top Ranked Jobs'!L7:L55),1)</f>
        <v/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22" customHeight="1">
      <c r="A9" s="1" t="n"/>
      <c r="B9" s="33" t="inlineStr">
        <is>
          <t>Big 4 Consulting</t>
        </is>
      </c>
      <c r="C9" s="22">
        <f>COUNTIF('Top Ranked Jobs'!G7:G55,"Big 4 Consulting")</f>
        <v/>
      </c>
      <c r="D9" s="24">
        <f t="array" ref="D9">MIN(IF('Top Ranked Jobs'!G7:G55="Big 4 Consulting",'Top Ranked Jobs'!K7:K55))</f>
        <v/>
      </c>
      <c r="E9" s="24">
        <f t="array" ref="E9">MEDIAN(IF('Top Ranked Jobs'!G7:G55="Big 4 Consulting",'Top Ranked Jobs'!K7:K55))</f>
        <v/>
      </c>
      <c r="F9" s="24">
        <f t="array" ref="F9">MAX(IF('Top Ranked Jobs'!G7:G55="Big 4 Consulting",'Top Ranked Jobs'!K7:K55))</f>
        <v/>
      </c>
      <c r="G9" s="35">
        <f>ROUND(AVERAGEIF('Top Ranked Jobs'!G7:G55,"Big 4 Consulting",'Top Ranked Jobs'!L7:L55),1)</f>
        <v/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22" customHeight="1">
      <c r="A10" s="1" t="n"/>
      <c r="B10" s="29" t="inlineStr">
        <is>
          <t>Biotech</t>
        </is>
      </c>
      <c r="C10" s="17">
        <f>COUNTIF('Top Ranked Jobs'!G7:G55,"Biotech")</f>
        <v/>
      </c>
      <c r="D10" s="19">
        <f t="array" ref="D10">MIN(IF('Top Ranked Jobs'!G7:G55="Biotech",'Top Ranked Jobs'!K7:K55))</f>
        <v/>
      </c>
      <c r="E10" s="19">
        <f t="array" ref="E10">MEDIAN(IF('Top Ranked Jobs'!G7:G55="Biotech",'Top Ranked Jobs'!K7:K55))</f>
        <v/>
      </c>
      <c r="F10" s="19">
        <f t="array" ref="F10">MAX(IF('Top Ranked Jobs'!G7:G55="Biotech",'Top Ranked Jobs'!K7:K55))</f>
        <v/>
      </c>
      <c r="G10" s="31">
        <f>ROUND(AVERAGEIF('Top Ranked Jobs'!G7:G55,"Biotech",'Top Ranked Jobs'!L7:L55),1)</f>
        <v/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2" customHeight="1">
      <c r="A11" s="1" t="n"/>
      <c r="B11" s="33" t="inlineStr">
        <is>
          <t>Corporate FinTech</t>
        </is>
      </c>
      <c r="C11" s="22">
        <f>COUNTIF('Top Ranked Jobs'!G7:G55,"Corporate FinTech")</f>
        <v/>
      </c>
      <c r="D11" s="24">
        <f t="array" ref="D11">MIN(IF('Top Ranked Jobs'!G7:G55="Corporate FinTech",'Top Ranked Jobs'!K7:K55))</f>
        <v/>
      </c>
      <c r="E11" s="24">
        <f t="array" ref="E11">MEDIAN(IF('Top Ranked Jobs'!G7:G55="Corporate FinTech",'Top Ranked Jobs'!K7:K55))</f>
        <v/>
      </c>
      <c r="F11" s="24">
        <f t="array" ref="F11">MAX(IF('Top Ranked Jobs'!G7:G55="Corporate FinTech",'Top Ranked Jobs'!K7:K55))</f>
        <v/>
      </c>
      <c r="G11" s="35">
        <f>ROUND(AVERAGEIF('Top Ranked Jobs'!G7:G55,"Corporate FinTech",'Top Ranked Jobs'!L7:L55),1)</f>
        <v/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22" customHeight="1">
      <c r="A12" s="1" t="n"/>
      <c r="B12" s="29" t="inlineStr">
        <is>
          <t>Medtech</t>
        </is>
      </c>
      <c r="C12" s="17">
        <f>COUNTIF('Top Ranked Jobs'!G7:G55,"Medtech")</f>
        <v/>
      </c>
      <c r="D12" s="19">
        <f t="array" ref="D12">MIN(IF('Top Ranked Jobs'!G7:G55="Medtech",'Top Ranked Jobs'!K7:K55))</f>
        <v/>
      </c>
      <c r="E12" s="19">
        <f t="array" ref="E12">MEDIAN(IF('Top Ranked Jobs'!G7:G55="Medtech",'Top Ranked Jobs'!K7:K55))</f>
        <v/>
      </c>
      <c r="F12" s="19">
        <f t="array" ref="F12">MAX(IF('Top Ranked Jobs'!G7:G55="Medtech",'Top Ranked Jobs'!K7:K55))</f>
        <v/>
      </c>
      <c r="G12" s="31">
        <f>ROUND(AVERAGEIF('Top Ranked Jobs'!G7:G55,"Medtech",'Top Ranked Jobs'!L7:L55),1)</f>
        <v/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22" customHeight="1">
      <c r="A13" s="1" t="n"/>
      <c r="B13" s="33" t="inlineStr">
        <is>
          <t>Bank</t>
        </is>
      </c>
      <c r="C13" s="22">
        <f>COUNTIF('Top Ranked Jobs'!G7:G55,"Bank")</f>
        <v/>
      </c>
      <c r="D13" s="24">
        <f t="array" ref="D13">MIN(IF('Top Ranked Jobs'!G7:G55="Bank",'Top Ranked Jobs'!K7:K55))</f>
        <v/>
      </c>
      <c r="E13" s="24">
        <f t="array" ref="E13">MEDIAN(IF('Top Ranked Jobs'!G7:G55="Bank",'Top Ranked Jobs'!K7:K55))</f>
        <v/>
      </c>
      <c r="F13" s="24">
        <f t="array" ref="F13">MAX(IF('Top Ranked Jobs'!G7:G55="Bank",'Top Ranked Jobs'!K7:K55))</f>
        <v/>
      </c>
      <c r="G13" s="35">
        <f>ROUND(AVERAGEIF('Top Ranked Jobs'!G7:G55,"Bank",'Top Ranked Jobs'!L7:L55),1)</f>
        <v/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22" customHeight="1">
      <c r="A14" s="1" t="n"/>
      <c r="B14" s="29" t="inlineStr">
        <is>
          <t>Mid-Market Consulting</t>
        </is>
      </c>
      <c r="C14" s="17">
        <f>COUNTIF('Top Ranked Jobs'!G7:G55,"Mid-Market Consulting")</f>
        <v/>
      </c>
      <c r="D14" s="19">
        <f t="array" ref="D14">MIN(IF('Top Ranked Jobs'!G7:G55="Mid-Market Consulting",'Top Ranked Jobs'!K7:K55))</f>
        <v/>
      </c>
      <c r="E14" s="19">
        <f t="array" ref="E14">MEDIAN(IF('Top Ranked Jobs'!G7:G55="Mid-Market Consulting",'Top Ranked Jobs'!K7:K55))</f>
        <v/>
      </c>
      <c r="F14" s="19">
        <f t="array" ref="F14">MAX(IF('Top Ranked Jobs'!G7:G55="Mid-Market Consulting",'Top Ranked Jobs'!K7:K55))</f>
        <v/>
      </c>
      <c r="G14" s="31">
        <f>ROUND(AVERAGEIF('Top Ranked Jobs'!G7:G55,"Mid-Market Consulting",'Top Ranked Jobs'!L7:L55),1)</f>
        <v/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22" customHeight="1">
      <c r="A15" s="1" t="n"/>
      <c r="B15" s="33" t="inlineStr">
        <is>
          <t>G-SIB-Adj Bank</t>
        </is>
      </c>
      <c r="C15" s="22">
        <f>COUNTIF('Top Ranked Jobs'!G7:G55,"G-SIB-Adj Bank")</f>
        <v/>
      </c>
      <c r="D15" s="24">
        <f t="array" ref="D15">MIN(IF('Top Ranked Jobs'!G7:G55="G-SIB-Adj Bank",'Top Ranked Jobs'!K7:K55))</f>
        <v/>
      </c>
      <c r="E15" s="24">
        <f t="array" ref="E15">MEDIAN(IF('Top Ranked Jobs'!G7:G55="G-SIB-Adj Bank",'Top Ranked Jobs'!K7:K55))</f>
        <v/>
      </c>
      <c r="F15" s="24">
        <f t="array" ref="F15">MAX(IF('Top Ranked Jobs'!G7:G55="G-SIB-Adj Bank",'Top Ranked Jobs'!K7:K55))</f>
        <v/>
      </c>
      <c r="G15" s="35">
        <f>ROUND(AVERAGEIF('Top Ranked Jobs'!G7:G55,"G-SIB-Adj Bank",'Top Ranked Jobs'!L7:L55),1)</f>
        <v/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22" customHeight="1">
      <c r="A16" s="1" t="n"/>
      <c r="B16" s="29" t="inlineStr">
        <is>
          <t>Energy</t>
        </is>
      </c>
      <c r="C16" s="17">
        <f>COUNTIF('Top Ranked Jobs'!G7:G55,"Energy")</f>
        <v/>
      </c>
      <c r="D16" s="19">
        <f t="array" ref="D16">MIN(IF('Top Ranked Jobs'!G7:G55="Energy",'Top Ranked Jobs'!K7:K55))</f>
        <v/>
      </c>
      <c r="E16" s="19">
        <f t="array" ref="E16">MEDIAN(IF('Top Ranked Jobs'!G7:G55="Energy",'Top Ranked Jobs'!K7:K55))</f>
        <v/>
      </c>
      <c r="F16" s="19">
        <f t="array" ref="F16">MAX(IF('Top Ranked Jobs'!G7:G55="Energy",'Top Ranked Jobs'!K7:K55))</f>
        <v/>
      </c>
      <c r="G16" s="31">
        <f>ROUND(AVERAGEIF('Top Ranked Jobs'!G7:G55,"Energy",'Top Ranked Jobs'!L7:L55),1)</f>
        <v/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22" customHeight="1">
      <c r="A17" s="1" t="n"/>
      <c r="B17" s="33" t="inlineStr">
        <is>
          <t>Academic Admin</t>
        </is>
      </c>
      <c r="C17" s="22">
        <f>COUNTIF('Top Ranked Jobs'!G7:G55,"Academic Admin")</f>
        <v/>
      </c>
      <c r="D17" s="24">
        <f t="array" ref="D17">MIN(IF('Top Ranked Jobs'!G7:G55="Academic Admin",'Top Ranked Jobs'!K7:K55))</f>
        <v/>
      </c>
      <c r="E17" s="24">
        <f t="array" ref="E17">MEDIAN(IF('Top Ranked Jobs'!G7:G55="Academic Admin",'Top Ranked Jobs'!K7:K55))</f>
        <v/>
      </c>
      <c r="F17" s="24">
        <f t="array" ref="F17">MAX(IF('Top Ranked Jobs'!G7:G55="Academic Admin",'Top Ranked Jobs'!K7:K55))</f>
        <v/>
      </c>
      <c r="G17" s="35">
        <f>ROUND(AVERAGEIF('Top Ranked Jobs'!G7:G55,"Academic Admin",'Top Ranked Jobs'!L7:L55),1)</f>
        <v/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22" customHeight="1">
      <c r="A18" s="1" t="n"/>
      <c r="B18" s="29" t="inlineStr">
        <is>
          <t>Community Bank</t>
        </is>
      </c>
      <c r="C18" s="17">
        <f>COUNTIF('Top Ranked Jobs'!G7:G55,"Community Bank")</f>
        <v/>
      </c>
      <c r="D18" s="19">
        <f t="array" ref="D18">MIN(IF('Top Ranked Jobs'!G7:G55="Community Bank",'Top Ranked Jobs'!K7:K55))</f>
        <v/>
      </c>
      <c r="E18" s="19">
        <f t="array" ref="E18">MEDIAN(IF('Top Ranked Jobs'!G7:G55="Community Bank",'Top Ranked Jobs'!K7:K55))</f>
        <v/>
      </c>
      <c r="F18" s="19">
        <f t="array" ref="F18">MAX(IF('Top Ranked Jobs'!G7:G55="Community Bank",'Top Ranked Jobs'!K7:K55))</f>
        <v/>
      </c>
      <c r="G18" s="31">
        <f>ROUND(AVERAGEIF('Top Ranked Jobs'!G7:G55,"Community Bank",'Top Ranked Jobs'!L7:L55),1)</f>
        <v/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22" customHeight="1">
      <c r="A19" s="1" t="n"/>
      <c r="B19" s="33" t="inlineStr">
        <is>
          <t>Staffing</t>
        </is>
      </c>
      <c r="C19" s="22">
        <f>COUNTIF('Top Ranked Jobs'!G7:G55,"Staffing")</f>
        <v/>
      </c>
      <c r="D19" s="24">
        <f t="array" ref="D19">MIN(IF('Top Ranked Jobs'!G7:G55="Staffing",'Top Ranked Jobs'!K7:K55))</f>
        <v/>
      </c>
      <c r="E19" s="24">
        <f t="array" ref="E19">MEDIAN(IF('Top Ranked Jobs'!G7:G55="Staffing",'Top Ranked Jobs'!K7:K55))</f>
        <v/>
      </c>
      <c r="F19" s="24">
        <f t="array" ref="F19">MAX(IF('Top Ranked Jobs'!G7:G55="Staffing",'Top Ranked Jobs'!K7:K55))</f>
        <v/>
      </c>
      <c r="G19" s="35">
        <f>ROUND(AVERAGEIF('Top Ranked Jobs'!G7:G55,"Staffing",'Top Ranked Jobs'!L7:L55),1)</f>
        <v/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22" customHeight="1">
      <c r="A20" s="1" t="n"/>
      <c r="B20" s="29" t="inlineStr">
        <is>
          <t>Academic-Adjunct</t>
        </is>
      </c>
      <c r="C20" s="17">
        <f>COUNTIF('Top Ranked Jobs'!G7:G55,"Academic-Adjunct")</f>
        <v/>
      </c>
      <c r="D20" s="19">
        <f t="array" ref="D20">MIN(IF('Top Ranked Jobs'!G7:G55="Academic-Adjunct",'Top Ranked Jobs'!K7:K55))</f>
        <v/>
      </c>
      <c r="E20" s="19">
        <f t="array" ref="E20">MEDIAN(IF('Top Ranked Jobs'!G7:G55="Academic-Adjunct",'Top Ranked Jobs'!K7:K55))</f>
        <v/>
      </c>
      <c r="F20" s="19">
        <f t="array" ref="F20">MAX(IF('Top Ranked Jobs'!G7:G55="Academic-Adjunct",'Top Ranked Jobs'!K7:K55))</f>
        <v/>
      </c>
      <c r="G20" s="31">
        <f>ROUND(AVERAGEIF('Top Ranked Jobs'!G7:G55,"Academic-Adjunct",'Top Ranked Jobs'!L7:L55),1)</f>
        <v/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9" customWidth="1" min="3" max="3"/>
    <col width="14" customWidth="1" min="4" max="4"/>
    <col width="14" customWidth="1" min="5" max="5"/>
    <col width="14" customWidth="1" min="6" max="6"/>
    <col width="11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6" customHeight="1">
      <c r="A2" s="1" t="n"/>
      <c r="B2" s="27" t="inlineStr">
        <is>
          <t>Tier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26" customHeight="1">
      <c r="A5" s="1" t="n"/>
      <c r="B5" s="16" t="inlineStr">
        <is>
          <t>Tier</t>
        </is>
      </c>
      <c r="C5" s="16" t="inlineStr">
        <is>
          <t>Roles</t>
        </is>
      </c>
      <c r="D5" s="16" t="inlineStr">
        <is>
          <t>Min Sal Mid</t>
        </is>
      </c>
      <c r="E5" s="16" t="inlineStr">
        <is>
          <t>Median Sal Mid</t>
        </is>
      </c>
      <c r="F5" s="16" t="inlineStr">
        <is>
          <t>Max Sal Mid</t>
        </is>
      </c>
      <c r="G5" s="16" t="inlineStr">
        <is>
          <t>Avg Fit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26" customHeight="1">
      <c r="A6" s="1" t="n"/>
      <c r="B6" s="28" t="inlineStr">
        <is>
          <t>Tier 1</t>
        </is>
      </c>
      <c r="C6" s="40">
        <f>COUNTIF('Top Ranked Jobs'!C7:C55,1)</f>
        <v/>
      </c>
      <c r="D6" s="41">
        <f t="array" ref="D6">MIN(IF('Top Ranked Jobs'!C7:C55=1,'Top Ranked Jobs'!K7:K55))</f>
        <v/>
      </c>
      <c r="E6" s="41">
        <f t="array" ref="E6">MEDIAN(IF('Top Ranked Jobs'!C7:C55=1,'Top Ranked Jobs'!K7:K55))</f>
        <v/>
      </c>
      <c r="F6" s="41">
        <f t="array" ref="F6">MAX(IF('Top Ranked Jobs'!C7:C55=1,'Top Ranked Jobs'!K7:K55))</f>
        <v/>
      </c>
      <c r="G6" s="42">
        <f>ROUND(AVERAGEIF('Top Ranked Jobs'!C7:C55,1,'Top Ranked Jobs'!L7:L55),1)</f>
        <v/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26" customHeight="1">
      <c r="A7" s="1" t="n"/>
      <c r="B7" s="37" t="inlineStr">
        <is>
          <t>Tier 2</t>
        </is>
      </c>
      <c r="C7" s="40">
        <f>COUNTIF('Top Ranked Jobs'!C7:C55,2)</f>
        <v/>
      </c>
      <c r="D7" s="41">
        <f t="array" ref="D7">MIN(IF('Top Ranked Jobs'!C7:C55=2,'Top Ranked Jobs'!K7:K55))</f>
        <v/>
      </c>
      <c r="E7" s="41">
        <f t="array" ref="E7">MEDIAN(IF('Top Ranked Jobs'!C7:C55=2,'Top Ranked Jobs'!K7:K55))</f>
        <v/>
      </c>
      <c r="F7" s="41">
        <f t="array" ref="F7">MAX(IF('Top Ranked Jobs'!C7:C55=2,'Top Ranked Jobs'!K7:K55))</f>
        <v/>
      </c>
      <c r="G7" s="42">
        <f>ROUND(AVERAGEIF('Top Ranked Jobs'!C7:C55,2,'Top Ranked Jobs'!L7:L55),1)</f>
        <v/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26" customHeight="1">
      <c r="A8" s="1" t="n"/>
      <c r="B8" s="38" t="inlineStr">
        <is>
          <t>Tier 3</t>
        </is>
      </c>
      <c r="C8" s="40">
        <f>COUNTIF('Top Ranked Jobs'!C7:C55,3)</f>
        <v/>
      </c>
      <c r="D8" s="41">
        <f t="array" ref="D8">MIN(IF('Top Ranked Jobs'!C7:C55=3,'Top Ranked Jobs'!K7:K55))</f>
        <v/>
      </c>
      <c r="E8" s="41">
        <f t="array" ref="E8">MEDIAN(IF('Top Ranked Jobs'!C7:C55=3,'Top Ranked Jobs'!K7:K55))</f>
        <v/>
      </c>
      <c r="F8" s="41">
        <f t="array" ref="F8">MAX(IF('Top Ranked Jobs'!C7:C55=3,'Top Ranked Jobs'!K7:K55))</f>
        <v/>
      </c>
      <c r="G8" s="42">
        <f>ROUND(AVERAGEIF('Top Ranked Jobs'!C7:C55,3,'Top Ranked Jobs'!L7:L55),1)</f>
        <v/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26" customHeight="1">
      <c r="A9" s="1" t="n"/>
      <c r="B9" s="39" t="inlineStr">
        <is>
          <t>Tier 4</t>
        </is>
      </c>
      <c r="C9" s="40">
        <f>COUNTIF('Top Ranked Jobs'!C7:C55,4)</f>
        <v/>
      </c>
      <c r="D9" s="41">
        <f t="array" ref="D9">MIN(IF('Top Ranked Jobs'!C7:C55=4,'Top Ranked Jobs'!K7:K55))</f>
        <v/>
      </c>
      <c r="E9" s="41">
        <f t="array" ref="E9">MEDIAN(IF('Top Ranked Jobs'!C7:C55=4,'Top Ranked Jobs'!K7:K55))</f>
        <v/>
      </c>
      <c r="F9" s="41">
        <f t="array" ref="F9">MAX(IF('Top Ranked Jobs'!C7:C55=4,'Top Ranked Jobs'!K7:K55))</f>
        <v/>
      </c>
      <c r="G9" s="42">
        <f>ROUND(AVERAGEIF('Top Ranked Jobs'!C7:C55,4,'Top Ranked Jobs'!L7:L55),1)</f>
        <v/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28" customHeight="1">
      <c r="A10" s="1" t="n"/>
      <c r="B10" s="43" t="inlineStr">
        <is>
          <t>OVERALL</t>
        </is>
      </c>
      <c r="C10" s="43">
        <f>COUNTA('Top Ranked Jobs'!D7:D55)</f>
        <v/>
      </c>
      <c r="D10" s="44">
        <f>MIN('Top Ranked Jobs'!K7:K55)</f>
        <v/>
      </c>
      <c r="E10" s="44">
        <f>MEDIAN('Top Ranked Jobs'!K7:K55)</f>
        <v/>
      </c>
      <c r="F10" s="44">
        <f>MAX('Top Ranked Jobs'!K7:K55)</f>
        <v/>
      </c>
      <c r="G10" s="45">
        <f>ROUND(AVERAGE('Top Ranked Jobs'!L7:L55),1)</f>
        <v/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4" customWidth="1" min="3" max="3"/>
    <col width="28" customWidth="1" min="4" max="4"/>
    <col width="36" customWidth="1" min="5" max="5"/>
    <col width="8" customWidth="1" min="6" max="6"/>
    <col width="11" customWidth="1" min="7" max="7"/>
    <col width="5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27" t="inlineStr">
        <is>
          <t>Four-Week Application Plan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6" customHeight="1">
      <c r="A5" s="1" t="n"/>
      <c r="B5" s="16" t="inlineStr">
        <is>
          <t>Week</t>
        </is>
      </c>
      <c r="C5" s="16" t="inlineStr">
        <is>
          <t>Window</t>
        </is>
      </c>
      <c r="D5" s="16" t="inlineStr">
        <is>
          <t>Company</t>
        </is>
      </c>
      <c r="E5" s="16" t="inlineStr">
        <is>
          <t>Title</t>
        </is>
      </c>
      <c r="F5" s="16" t="inlineStr">
        <is>
          <t>Tier</t>
        </is>
      </c>
      <c r="G5" s="16" t="inlineStr">
        <is>
          <t>Fit</t>
        </is>
      </c>
      <c r="H5" s="16" t="inlineStr">
        <is>
          <t>Suggested move</t>
        </is>
      </c>
      <c r="I5" s="1" t="n"/>
      <c r="J5" s="1" t="n"/>
    </row>
    <row r="6" ht="32" customHeight="1">
      <c r="A6" s="1" t="n"/>
      <c r="B6" s="28" t="inlineStr">
        <is>
          <t>Week 1</t>
        </is>
      </c>
      <c r="C6" s="17" t="inlineStr">
        <is>
          <t>May 18 – May 22</t>
        </is>
      </c>
      <c r="D6" s="29" t="inlineStr">
        <is>
          <t>JPMorgan Chase</t>
        </is>
      </c>
      <c r="E6" s="46" t="inlineStr">
        <is>
          <t>Executive Director, AI/ML Audit</t>
        </is>
      </c>
      <c r="F6" s="17" t="n">
        <v>1</v>
      </c>
      <c r="G6" s="31" t="n">
        <v>9.5</v>
      </c>
      <c r="H6" s="46" t="inlineStr">
        <is>
          <t>Tailored resume + cover letter this week. Reach out to one internal referrer.</t>
        </is>
      </c>
      <c r="I6" s="1" t="n"/>
      <c r="J6" s="1" t="n"/>
    </row>
    <row r="7" ht="32" customHeight="1">
      <c r="A7" s="1" t="n"/>
      <c r="B7" s="28" t="inlineStr">
        <is>
          <t>Week 1</t>
        </is>
      </c>
      <c r="C7" s="22" t="inlineStr">
        <is>
          <t>May 18 – May 22</t>
        </is>
      </c>
      <c r="D7" s="33" t="inlineStr">
        <is>
          <t>BNY</t>
        </is>
      </c>
      <c r="E7" s="47" t="inlineStr">
        <is>
          <t>Managing Director, AI Governance Audit</t>
        </is>
      </c>
      <c r="F7" s="22" t="n">
        <v>1</v>
      </c>
      <c r="G7" s="35" t="n">
        <v>9.199999999999999</v>
      </c>
      <c r="H7" s="47" t="inlineStr">
        <is>
          <t>Tailored resume + cover letter this week. Reach out to one internal referrer.</t>
        </is>
      </c>
      <c r="I7" s="1" t="n"/>
      <c r="J7" s="1" t="n"/>
    </row>
    <row r="8" ht="32" customHeight="1">
      <c r="A8" s="1" t="n"/>
      <c r="B8" s="28" t="inlineStr">
        <is>
          <t>Week 1</t>
        </is>
      </c>
      <c r="C8" s="17" t="inlineStr">
        <is>
          <t>May 18 – May 22</t>
        </is>
      </c>
      <c r="D8" s="29" t="inlineStr">
        <is>
          <t>Bristol Myers Squibb</t>
        </is>
      </c>
      <c r="E8" s="46" t="inlineStr">
        <is>
          <t>Executive Director, Internal Audit</t>
        </is>
      </c>
      <c r="F8" s="17" t="n">
        <v>1</v>
      </c>
      <c r="G8" s="31" t="n">
        <v>9.4</v>
      </c>
      <c r="H8" s="46" t="inlineStr">
        <is>
          <t>Tailored resume + cover letter this week. Reach out to one internal referrer.</t>
        </is>
      </c>
      <c r="I8" s="1" t="n"/>
      <c r="J8" s="1" t="n"/>
    </row>
    <row r="9" ht="32" customHeight="1">
      <c r="A9" s="1" t="n"/>
      <c r="B9" s="28" t="inlineStr">
        <is>
          <t>Week 1</t>
        </is>
      </c>
      <c r="C9" s="22" t="inlineStr">
        <is>
          <t>May 18 – May 22</t>
        </is>
      </c>
      <c r="D9" s="33" t="inlineStr">
        <is>
          <t>Morgan Stanley</t>
        </is>
      </c>
      <c r="E9" s="47" t="inlineStr">
        <is>
          <t>Executive Director, Technology &amp; AI Audit</t>
        </is>
      </c>
      <c r="F9" s="22" t="n">
        <v>1</v>
      </c>
      <c r="G9" s="35" t="n">
        <v>9</v>
      </c>
      <c r="H9" s="47" t="inlineStr">
        <is>
          <t>Tailored resume + cover letter this week. Reach out to one internal referrer.</t>
        </is>
      </c>
      <c r="I9" s="1" t="n"/>
      <c r="J9" s="1" t="n"/>
    </row>
    <row r="10" ht="32" customHeight="1">
      <c r="A10" s="1" t="n"/>
      <c r="B10" s="28" t="inlineStr">
        <is>
          <t>Week 1</t>
        </is>
      </c>
      <c r="C10" s="17" t="inlineStr">
        <is>
          <t>May 18 – May 22</t>
        </is>
      </c>
      <c r="D10" s="29" t="inlineStr">
        <is>
          <t>Goldman Sachs</t>
        </is>
      </c>
      <c r="E10" s="46" t="inlineStr">
        <is>
          <t>VP, AI Governance &amp; Model Risk Audit</t>
        </is>
      </c>
      <c r="F10" s="17" t="n">
        <v>1</v>
      </c>
      <c r="G10" s="31" t="n">
        <v>9</v>
      </c>
      <c r="H10" s="46" t="inlineStr">
        <is>
          <t>Tailored resume + cover letter this week. Reach out to one internal referrer.</t>
        </is>
      </c>
      <c r="I10" s="1" t="n"/>
      <c r="J10" s="1" t="n"/>
    </row>
    <row r="11" ht="32" customHeight="1">
      <c r="A11" s="1" t="n"/>
      <c r="B11" s="28" t="inlineStr">
        <is>
          <t>Week 1</t>
        </is>
      </c>
      <c r="C11" s="22" t="inlineStr">
        <is>
          <t>May 18 – May 22</t>
        </is>
      </c>
      <c r="D11" s="33" t="inlineStr">
        <is>
          <t>Prudential Financial</t>
        </is>
      </c>
      <c r="E11" s="47" t="inlineStr">
        <is>
          <t>VP, Internal Audit — AI &amp; Model Risk</t>
        </is>
      </c>
      <c r="F11" s="22" t="n">
        <v>1</v>
      </c>
      <c r="G11" s="35" t="n">
        <v>9.6</v>
      </c>
      <c r="H11" s="47" t="inlineStr">
        <is>
          <t>Tailored resume + cover letter this week. Reach out to one internal referrer.</t>
        </is>
      </c>
      <c r="I11" s="1" t="n"/>
      <c r="J11" s="1" t="n"/>
    </row>
    <row r="12" ht="32" customHeight="1">
      <c r="A12" s="1" t="n"/>
      <c r="B12" s="28" t="inlineStr">
        <is>
          <t>Week 1</t>
        </is>
      </c>
      <c r="C12" s="17" t="inlineStr">
        <is>
          <t>May 18 – May 22</t>
        </is>
      </c>
      <c r="D12" s="29" t="inlineStr">
        <is>
          <t>Johnson &amp; Johnson</t>
        </is>
      </c>
      <c r="E12" s="46" t="inlineStr">
        <is>
          <t>Senior Director, Internal Audit — AI &amp; Digital</t>
        </is>
      </c>
      <c r="F12" s="17" t="n">
        <v>1</v>
      </c>
      <c r="G12" s="31" t="n">
        <v>9.199999999999999</v>
      </c>
      <c r="H12" s="46" t="inlineStr">
        <is>
          <t>Tailored resume + cover letter this week. Reach out to one internal referrer.</t>
        </is>
      </c>
      <c r="I12" s="1" t="n"/>
      <c r="J12" s="1" t="n"/>
    </row>
    <row r="13" ht="32" customHeight="1">
      <c r="A13" s="1" t="n"/>
      <c r="B13" s="28" t="inlineStr">
        <is>
          <t>Week 1</t>
        </is>
      </c>
      <c r="C13" s="22" t="inlineStr">
        <is>
          <t>May 18 – May 22</t>
        </is>
      </c>
      <c r="D13" s="33" t="inlineStr">
        <is>
          <t>Citi</t>
        </is>
      </c>
      <c r="E13" s="47" t="inlineStr">
        <is>
          <t>Director, AI Audit (return engagement)</t>
        </is>
      </c>
      <c r="F13" s="22" t="n">
        <v>1</v>
      </c>
      <c r="G13" s="35" t="n">
        <v>9</v>
      </c>
      <c r="H13" s="47" t="inlineStr">
        <is>
          <t>Tailored resume + cover letter this week. Reach out to one internal referrer.</t>
        </is>
      </c>
      <c r="I13" s="1" t="n"/>
      <c r="J13" s="1" t="n"/>
    </row>
    <row r="14" ht="32" customHeight="1">
      <c r="A14" s="1" t="n"/>
      <c r="B14" s="28" t="inlineStr">
        <is>
          <t>Week 1</t>
        </is>
      </c>
      <c r="C14" s="17" t="inlineStr">
        <is>
          <t>May 18 – May 22</t>
        </is>
      </c>
      <c r="D14" s="29" t="inlineStr">
        <is>
          <t>Merck</t>
        </is>
      </c>
      <c r="E14" s="46" t="inlineStr">
        <is>
          <t>Director, Internal Audit — Technology &amp; AI</t>
        </is>
      </c>
      <c r="F14" s="17" t="n">
        <v>1</v>
      </c>
      <c r="G14" s="31" t="n">
        <v>9.1</v>
      </c>
      <c r="H14" s="46" t="inlineStr">
        <is>
          <t>Tailored resume + cover letter this week. Reach out to one internal referrer.</t>
        </is>
      </c>
      <c r="I14" s="1" t="n"/>
      <c r="J14" s="1" t="n"/>
    </row>
    <row r="15" ht="32" customHeight="1">
      <c r="A15" s="1" t="n"/>
      <c r="B15" s="37" t="inlineStr">
        <is>
          <t>Week 2</t>
        </is>
      </c>
      <c r="C15" s="22" t="inlineStr">
        <is>
          <t>May 25 – May 29</t>
        </is>
      </c>
      <c r="D15" s="33" t="inlineStr">
        <is>
          <t>Wells Fargo</t>
        </is>
      </c>
      <c r="E15" s="47" t="inlineStr">
        <is>
          <t>SVP, AI Risk Oversight (3LOD audit)</t>
        </is>
      </c>
      <c r="F15" s="22" t="n">
        <v>2</v>
      </c>
      <c r="G15" s="35" t="n">
        <v>8.4</v>
      </c>
      <c r="H15" s="47" t="inlineStr">
        <is>
          <t>Apply via stable career portal. Note referral targets on LinkedIn.</t>
        </is>
      </c>
      <c r="I15" s="1" t="n"/>
      <c r="J15" s="1" t="n"/>
    </row>
    <row r="16" ht="32" customHeight="1">
      <c r="A16" s="1" t="n"/>
      <c r="B16" s="37" t="inlineStr">
        <is>
          <t>Week 2</t>
        </is>
      </c>
      <c r="C16" s="17" t="inlineStr">
        <is>
          <t>May 25 – May 29</t>
        </is>
      </c>
      <c r="D16" s="29" t="inlineStr">
        <is>
          <t>PwC</t>
        </is>
      </c>
      <c r="E16" s="46" t="inlineStr">
        <is>
          <t>Director, Risk Assurance — AI &amp; Model Risk</t>
        </is>
      </c>
      <c r="F16" s="17" t="n">
        <v>2</v>
      </c>
      <c r="G16" s="31" t="n">
        <v>8.300000000000001</v>
      </c>
      <c r="H16" s="46" t="inlineStr">
        <is>
          <t>Apply via stable career portal. Note referral targets on LinkedIn.</t>
        </is>
      </c>
      <c r="I16" s="1" t="n"/>
      <c r="J16" s="1" t="n"/>
    </row>
    <row r="17" ht="32" customHeight="1">
      <c r="A17" s="1" t="n"/>
      <c r="B17" s="37" t="inlineStr">
        <is>
          <t>Week 2</t>
        </is>
      </c>
      <c r="C17" s="22" t="inlineStr">
        <is>
          <t>May 25 – May 29</t>
        </is>
      </c>
      <c r="D17" s="33" t="inlineStr">
        <is>
          <t>BioNTech US</t>
        </is>
      </c>
      <c r="E17" s="47" t="inlineStr">
        <is>
          <t>Senior Director, Internal Audit</t>
        </is>
      </c>
      <c r="F17" s="22" t="n">
        <v>2</v>
      </c>
      <c r="G17" s="35" t="n">
        <v>8</v>
      </c>
      <c r="H17" s="47" t="inlineStr">
        <is>
          <t>Apply via stable career portal. Note referral targets on LinkedIn.</t>
        </is>
      </c>
      <c r="I17" s="1" t="n"/>
      <c r="J17" s="1" t="n"/>
    </row>
    <row r="18" ht="32" customHeight="1">
      <c r="A18" s="1" t="n"/>
      <c r="B18" s="37" t="inlineStr">
        <is>
          <t>Week 2</t>
        </is>
      </c>
      <c r="C18" s="17" t="inlineStr">
        <is>
          <t>May 25 – May 29</t>
        </is>
      </c>
      <c r="D18" s="29" t="inlineStr">
        <is>
          <t>Insmed</t>
        </is>
      </c>
      <c r="E18" s="46" t="inlineStr">
        <is>
          <t>Director, Internal Audit</t>
        </is>
      </c>
      <c r="F18" s="17" t="n">
        <v>2</v>
      </c>
      <c r="G18" s="31" t="n">
        <v>8.1</v>
      </c>
      <c r="H18" s="46" t="inlineStr">
        <is>
          <t>Apply via stable career portal. Note referral targets on LinkedIn.</t>
        </is>
      </c>
      <c r="I18" s="1" t="n"/>
      <c r="J18" s="1" t="n"/>
    </row>
    <row r="19" ht="32" customHeight="1">
      <c r="A19" s="1" t="n"/>
      <c r="B19" s="37" t="inlineStr">
        <is>
          <t>Week 2</t>
        </is>
      </c>
      <c r="C19" s="22" t="inlineStr">
        <is>
          <t>May 25 – May 29</t>
        </is>
      </c>
      <c r="D19" s="33" t="inlineStr">
        <is>
          <t>ADP</t>
        </is>
      </c>
      <c r="E19" s="47" t="inlineStr">
        <is>
          <t>VP, Internal Audit</t>
        </is>
      </c>
      <c r="F19" s="22" t="n">
        <v>2</v>
      </c>
      <c r="G19" s="35" t="n">
        <v>7.9</v>
      </c>
      <c r="H19" s="47" t="inlineStr">
        <is>
          <t>Apply via stable career portal. Note referral targets on LinkedIn.</t>
        </is>
      </c>
      <c r="I19" s="1" t="n"/>
      <c r="J19" s="1" t="n"/>
    </row>
    <row r="20" ht="32" customHeight="1">
      <c r="A20" s="1" t="n"/>
      <c r="B20" s="37" t="inlineStr">
        <is>
          <t>Week 2</t>
        </is>
      </c>
      <c r="C20" s="17" t="inlineStr">
        <is>
          <t>May 25 – May 29</t>
        </is>
      </c>
      <c r="D20" s="29" t="inlineStr">
        <is>
          <t>BD (Becton Dickinson)</t>
        </is>
      </c>
      <c r="E20" s="46" t="inlineStr">
        <is>
          <t>Director, IT Audit &amp; AI Risk</t>
        </is>
      </c>
      <c r="F20" s="17" t="n">
        <v>2</v>
      </c>
      <c r="G20" s="31" t="n">
        <v>8.199999999999999</v>
      </c>
      <c r="H20" s="46" t="inlineStr">
        <is>
          <t>Apply via stable career portal. Note referral targets on LinkedIn.</t>
        </is>
      </c>
      <c r="I20" s="1" t="n"/>
      <c r="J20" s="1" t="n"/>
    </row>
    <row r="21" ht="32" customHeight="1">
      <c r="A21" s="1" t="n"/>
      <c r="B21" s="37" t="inlineStr">
        <is>
          <t>Week 2</t>
        </is>
      </c>
      <c r="C21" s="22" t="inlineStr">
        <is>
          <t>May 25 – May 29</t>
        </is>
      </c>
      <c r="D21" s="33" t="inlineStr">
        <is>
          <t>Barclays</t>
        </is>
      </c>
      <c r="E21" s="47" t="inlineStr">
        <is>
          <t>Director, Internal Audit</t>
        </is>
      </c>
      <c r="F21" s="22" t="n">
        <v>2</v>
      </c>
      <c r="G21" s="35" t="n">
        <v>8.199999999999999</v>
      </c>
      <c r="H21" s="47" t="inlineStr">
        <is>
          <t>Apply via stable career portal. Note referral targets on LinkedIn.</t>
        </is>
      </c>
      <c r="I21" s="1" t="n"/>
      <c r="J21" s="1" t="n"/>
    </row>
    <row r="22" ht="32" customHeight="1">
      <c r="A22" s="1" t="n"/>
      <c r="B22" s="37" t="inlineStr">
        <is>
          <t>Week 2</t>
        </is>
      </c>
      <c r="C22" s="17" t="inlineStr">
        <is>
          <t>May 25 – May 29</t>
        </is>
      </c>
      <c r="D22" s="29" t="inlineStr">
        <is>
          <t>RSM US</t>
        </is>
      </c>
      <c r="E22" s="46" t="inlineStr">
        <is>
          <t>Director, Risk Consulting — AI Governance</t>
        </is>
      </c>
      <c r="F22" s="17" t="n">
        <v>2</v>
      </c>
      <c r="G22" s="31" t="n">
        <v>7.7</v>
      </c>
      <c r="H22" s="46" t="inlineStr">
        <is>
          <t>Apply via stable career portal. Note referral targets on LinkedIn.</t>
        </is>
      </c>
      <c r="I22" s="1" t="n"/>
      <c r="J22" s="1" t="n"/>
    </row>
    <row r="23" ht="32" customHeight="1">
      <c r="A23" s="1" t="n"/>
      <c r="B23" s="37" t="inlineStr">
        <is>
          <t>Week 2</t>
        </is>
      </c>
      <c r="C23" s="22" t="inlineStr">
        <is>
          <t>May 25 – May 29</t>
        </is>
      </c>
      <c r="D23" s="33" t="inlineStr">
        <is>
          <t>SMBC</t>
        </is>
      </c>
      <c r="E23" s="47" t="inlineStr">
        <is>
          <t>Director, Internal Audit</t>
        </is>
      </c>
      <c r="F23" s="22" t="n">
        <v>2</v>
      </c>
      <c r="G23" s="35" t="n">
        <v>7.9</v>
      </c>
      <c r="H23" s="47" t="inlineStr">
        <is>
          <t>Apply via stable career portal. Note referral targets on LinkedIn.</t>
        </is>
      </c>
      <c r="I23" s="1" t="n"/>
      <c r="J23" s="1" t="n"/>
    </row>
    <row r="24" ht="32" customHeight="1">
      <c r="A24" s="1" t="n"/>
      <c r="B24" s="37" t="inlineStr">
        <is>
          <t>Week 2</t>
        </is>
      </c>
      <c r="C24" s="17" t="inlineStr">
        <is>
          <t>May 25 – May 29</t>
        </is>
      </c>
      <c r="D24" s="29" t="inlineStr">
        <is>
          <t>Bank of America</t>
        </is>
      </c>
      <c r="E24" s="46" t="inlineStr">
        <is>
          <t>VP, Internal Audit — Model Risk</t>
        </is>
      </c>
      <c r="F24" s="17" t="n">
        <v>2</v>
      </c>
      <c r="G24" s="31" t="n">
        <v>8.300000000000001</v>
      </c>
      <c r="H24" s="46" t="inlineStr">
        <is>
          <t>Apply via stable career portal. Note referral targets on LinkedIn.</t>
        </is>
      </c>
      <c r="I24" s="1" t="n"/>
      <c r="J24" s="1" t="n"/>
    </row>
    <row r="25" ht="32" customHeight="1">
      <c r="A25" s="1" t="n"/>
      <c r="B25" s="37" t="inlineStr">
        <is>
          <t>Week 2</t>
        </is>
      </c>
      <c r="C25" s="22" t="inlineStr">
        <is>
          <t>May 25 – May 29</t>
        </is>
      </c>
      <c r="D25" s="33" t="inlineStr">
        <is>
          <t>Otsuka America Pharmaceutical</t>
        </is>
      </c>
      <c r="E25" s="47" t="inlineStr">
        <is>
          <t>Director, Internal Audit</t>
        </is>
      </c>
      <c r="F25" s="22" t="n">
        <v>2</v>
      </c>
      <c r="G25" s="35" t="n">
        <v>7.7</v>
      </c>
      <c r="H25" s="47" t="inlineStr">
        <is>
          <t>Apply via stable career portal. Note referral targets on LinkedIn.</t>
        </is>
      </c>
      <c r="I25" s="1" t="n"/>
      <c r="J25" s="1" t="n"/>
    </row>
    <row r="26" ht="32" customHeight="1">
      <c r="A26" s="1" t="n"/>
      <c r="B26" s="37" t="inlineStr">
        <is>
          <t>Week 2</t>
        </is>
      </c>
      <c r="C26" s="17" t="inlineStr">
        <is>
          <t>May 25 – May 29</t>
        </is>
      </c>
      <c r="D26" s="29" t="inlineStr">
        <is>
          <t>Panasonic North America</t>
        </is>
      </c>
      <c r="E26" s="46" t="inlineStr">
        <is>
          <t>Director, Internal Audit</t>
        </is>
      </c>
      <c r="F26" s="17" t="n">
        <v>2</v>
      </c>
      <c r="G26" s="31" t="n">
        <v>8</v>
      </c>
      <c r="H26" s="46" t="inlineStr">
        <is>
          <t>Apply via stable career portal. Note referral targets on LinkedIn.</t>
        </is>
      </c>
      <c r="I26" s="1" t="n"/>
      <c r="J26" s="1" t="n"/>
    </row>
    <row r="27" ht="32" customHeight="1">
      <c r="A27" s="1" t="n"/>
      <c r="B27" s="38" t="inlineStr">
        <is>
          <t>Week 3</t>
        </is>
      </c>
      <c r="C27" s="22" t="inlineStr">
        <is>
          <t>Jun 01 – Jun 05</t>
        </is>
      </c>
      <c r="D27" s="33" t="inlineStr">
        <is>
          <t>NRG Energy</t>
        </is>
      </c>
      <c r="E27" s="47" t="inlineStr">
        <is>
          <t>Director, Internal Audit</t>
        </is>
      </c>
      <c r="F27" s="22" t="n">
        <v>3</v>
      </c>
      <c r="G27" s="35" t="n">
        <v>7</v>
      </c>
      <c r="H27" s="47" t="inlineStr">
        <is>
          <t>Apply if Tier 1/2 pipeline thins by Friday. Otherwise keep warm.</t>
        </is>
      </c>
      <c r="I27" s="1" t="n"/>
      <c r="J27" s="1" t="n"/>
    </row>
    <row r="28" ht="32" customHeight="1">
      <c r="A28" s="1" t="n"/>
      <c r="B28" s="38" t="inlineStr">
        <is>
          <t>Week 3</t>
        </is>
      </c>
      <c r="C28" s="17" t="inlineStr">
        <is>
          <t>Jun 01 – Jun 05</t>
        </is>
      </c>
      <c r="D28" s="29" t="inlineStr">
        <is>
          <t>Avis Budget Group</t>
        </is>
      </c>
      <c r="E28" s="46" t="inlineStr">
        <is>
          <t>Director, Internal Audit</t>
        </is>
      </c>
      <c r="F28" s="17" t="n">
        <v>3</v>
      </c>
      <c r="G28" s="31" t="n">
        <v>7.2</v>
      </c>
      <c r="H28" s="46" t="inlineStr">
        <is>
          <t>Apply if Tier 1/2 pipeline thins by Friday. Otherwise keep warm.</t>
        </is>
      </c>
      <c r="I28" s="1" t="n"/>
      <c r="J28" s="1" t="n"/>
    </row>
    <row r="29" ht="32" customHeight="1">
      <c r="A29" s="1" t="n"/>
      <c r="B29" s="38" t="inlineStr">
        <is>
          <t>Week 3</t>
        </is>
      </c>
      <c r="C29" s="22" t="inlineStr">
        <is>
          <t>Jun 01 – Jun 05</t>
        </is>
      </c>
      <c r="D29" s="33" t="inlineStr">
        <is>
          <t>NJIT</t>
        </is>
      </c>
      <c r="E29" s="47" t="inlineStr">
        <is>
          <t>Director, Internal Audit</t>
        </is>
      </c>
      <c r="F29" s="22" t="n">
        <v>3</v>
      </c>
      <c r="G29" s="35" t="n">
        <v>7.3</v>
      </c>
      <c r="H29" s="47" t="inlineStr">
        <is>
          <t>Apply if Tier 1/2 pipeline thins by Friday. Otherwise keep warm.</t>
        </is>
      </c>
      <c r="I29" s="1" t="n"/>
      <c r="J29" s="1" t="n"/>
    </row>
    <row r="30" ht="32" customHeight="1">
      <c r="A30" s="1" t="n"/>
      <c r="B30" s="38" t="inlineStr">
        <is>
          <t>Week 3</t>
        </is>
      </c>
      <c r="C30" s="17" t="inlineStr">
        <is>
          <t>Jun 01 – Jun 05</t>
        </is>
      </c>
      <c r="D30" s="29" t="inlineStr">
        <is>
          <t>Princeton University</t>
        </is>
      </c>
      <c r="E30" s="46" t="inlineStr">
        <is>
          <t>Senior Auditor, Office of Audit &amp; Compliance</t>
        </is>
      </c>
      <c r="F30" s="17" t="n">
        <v>3</v>
      </c>
      <c r="G30" s="31" t="n">
        <v>7.4</v>
      </c>
      <c r="H30" s="46" t="inlineStr">
        <is>
          <t>Apply if Tier 1/2 pipeline thins by Friday. Otherwise keep warm.</t>
        </is>
      </c>
      <c r="I30" s="1" t="n"/>
      <c r="J30" s="1" t="n"/>
    </row>
    <row r="31" ht="32" customHeight="1">
      <c r="A31" s="1" t="n"/>
      <c r="B31" s="38" t="inlineStr">
        <is>
          <t>Week 3</t>
        </is>
      </c>
      <c r="C31" s="22" t="inlineStr">
        <is>
          <t>Jun 01 – Jun 05</t>
        </is>
      </c>
      <c r="D31" s="33" t="inlineStr">
        <is>
          <t>Crowe LLP</t>
        </is>
      </c>
      <c r="E31" s="47" t="inlineStr">
        <is>
          <t>Senior Manager, Risk Consulting</t>
        </is>
      </c>
      <c r="F31" s="22" t="n">
        <v>3</v>
      </c>
      <c r="G31" s="35" t="n">
        <v>7</v>
      </c>
      <c r="H31" s="47" t="inlineStr">
        <is>
          <t>Apply if Tier 1/2 pipeline thins by Friday. Otherwise keep warm.</t>
        </is>
      </c>
      <c r="I31" s="1" t="n"/>
      <c r="J31" s="1" t="n"/>
    </row>
    <row r="32" ht="32" customHeight="1">
      <c r="A32" s="1" t="n"/>
      <c r="B32" s="38" t="inlineStr">
        <is>
          <t>Week 3</t>
        </is>
      </c>
      <c r="C32" s="17" t="inlineStr">
        <is>
          <t>Jun 01 – Jun 05</t>
        </is>
      </c>
      <c r="D32" s="29" t="inlineStr">
        <is>
          <t>SOLV Energy</t>
        </is>
      </c>
      <c r="E32" s="46" t="inlineStr">
        <is>
          <t>Senior Audit Manager</t>
        </is>
      </c>
      <c r="F32" s="17" t="n">
        <v>3</v>
      </c>
      <c r="G32" s="31" t="n">
        <v>6.7</v>
      </c>
      <c r="H32" s="46" t="inlineStr">
        <is>
          <t>Apply if Tier 1/2 pipeline thins by Friday. Otherwise keep warm.</t>
        </is>
      </c>
      <c r="I32" s="1" t="n"/>
      <c r="J32" s="1" t="n"/>
    </row>
    <row r="33" ht="32" customHeight="1">
      <c r="A33" s="1" t="n"/>
      <c r="B33" s="38" t="inlineStr">
        <is>
          <t>Week 3</t>
        </is>
      </c>
      <c r="C33" s="22" t="inlineStr">
        <is>
          <t>Jun 01 – Jun 05</t>
        </is>
      </c>
      <c r="D33" s="33" t="inlineStr">
        <is>
          <t>Baker Tilly</t>
        </is>
      </c>
      <c r="E33" s="47" t="inlineStr">
        <is>
          <t>Senior Manager, Risk Advisory</t>
        </is>
      </c>
      <c r="F33" s="22" t="n">
        <v>3</v>
      </c>
      <c r="G33" s="35" t="n">
        <v>6.8</v>
      </c>
      <c r="H33" s="47" t="inlineStr">
        <is>
          <t>Apply if Tier 1/2 pipeline thins by Friday. Otherwise keep warm.</t>
        </is>
      </c>
      <c r="I33" s="1" t="n"/>
      <c r="J33" s="1" t="n"/>
    </row>
    <row r="34" ht="32" customHeight="1">
      <c r="A34" s="1" t="n"/>
      <c r="B34" s="38" t="inlineStr">
        <is>
          <t>Week 3</t>
        </is>
      </c>
      <c r="C34" s="17" t="inlineStr">
        <is>
          <t>Jun 01 – Jun 05</t>
        </is>
      </c>
      <c r="D34" s="29" t="inlineStr">
        <is>
          <t>Seton Hall University</t>
        </is>
      </c>
      <c r="E34" s="46" t="inlineStr">
        <is>
          <t>Director, Internal Audit</t>
        </is>
      </c>
      <c r="F34" s="17" t="n">
        <v>3</v>
      </c>
      <c r="G34" s="31" t="n">
        <v>7</v>
      </c>
      <c r="H34" s="46" t="inlineStr">
        <is>
          <t>Apply if Tier 1/2 pipeline thins by Friday. Otherwise keep warm.</t>
        </is>
      </c>
      <c r="I34" s="1" t="n"/>
      <c r="J34" s="1" t="n"/>
    </row>
    <row r="35" ht="32" customHeight="1">
      <c r="A35" s="1" t="n"/>
      <c r="B35" s="38" t="inlineStr">
        <is>
          <t>Week 3</t>
        </is>
      </c>
      <c r="C35" s="22" t="inlineStr">
        <is>
          <t>Jun 01 – Jun 05</t>
        </is>
      </c>
      <c r="D35" s="33" t="inlineStr">
        <is>
          <t>Rutgers University</t>
        </is>
      </c>
      <c r="E35" s="47" t="inlineStr">
        <is>
          <t>Senior Internal Auditor</t>
        </is>
      </c>
      <c r="F35" s="22" t="n">
        <v>3</v>
      </c>
      <c r="G35" s="35" t="n">
        <v>7.2</v>
      </c>
      <c r="H35" s="47" t="inlineStr">
        <is>
          <t>Apply if Tier 1/2 pipeline thins by Friday. Otherwise keep warm.</t>
        </is>
      </c>
      <c r="I35" s="1" t="n"/>
      <c r="J35" s="1" t="n"/>
    </row>
    <row r="36" ht="32" customHeight="1">
      <c r="A36" s="1" t="n"/>
      <c r="B36" s="38" t="inlineStr">
        <is>
          <t>Week 3</t>
        </is>
      </c>
      <c r="C36" s="17" t="inlineStr">
        <is>
          <t>Jun 01 – Jun 05</t>
        </is>
      </c>
      <c r="D36" s="29" t="inlineStr">
        <is>
          <t>Kearny Bank</t>
        </is>
      </c>
      <c r="E36" s="46" t="inlineStr">
        <is>
          <t>VP, Internal Audit</t>
        </is>
      </c>
      <c r="F36" s="17" t="n">
        <v>3</v>
      </c>
      <c r="G36" s="31" t="n">
        <v>6.5</v>
      </c>
      <c r="H36" s="46" t="inlineStr">
        <is>
          <t>Apply if Tier 1/2 pipeline thins by Friday. Otherwise keep warm.</t>
        </is>
      </c>
      <c r="I36" s="1" t="n"/>
      <c r="J36" s="1" t="n"/>
    </row>
    <row r="37" ht="32" customHeight="1">
      <c r="A37" s="1" t="n"/>
      <c r="B37" s="38" t="inlineStr">
        <is>
          <t>Week 3</t>
        </is>
      </c>
      <c r="C37" s="22" t="inlineStr">
        <is>
          <t>Jun 01 – Jun 05</t>
        </is>
      </c>
      <c r="D37" s="33" t="inlineStr">
        <is>
          <t>Robert Half (Mgmt Resources)</t>
        </is>
      </c>
      <c r="E37" s="47" t="inlineStr">
        <is>
          <t>Senior Audit Consultant — interim VP</t>
        </is>
      </c>
      <c r="F37" s="22" t="n">
        <v>3</v>
      </c>
      <c r="G37" s="35" t="n">
        <v>6.6</v>
      </c>
      <c r="H37" s="47" t="inlineStr">
        <is>
          <t>Apply if Tier 1/2 pipeline thins by Friday. Otherwise keep warm.</t>
        </is>
      </c>
      <c r="I37" s="1" t="n"/>
      <c r="J37" s="1" t="n"/>
    </row>
    <row r="38" ht="32" customHeight="1">
      <c r="A38" s="1" t="n"/>
      <c r="B38" s="39" t="inlineStr">
        <is>
          <t>Week 4</t>
        </is>
      </c>
      <c r="C38" s="17" t="inlineStr">
        <is>
          <t>Jun 08 – Jun 12</t>
        </is>
      </c>
      <c r="D38" s="29" t="inlineStr">
        <is>
          <t>Stevens Institute of Technology</t>
        </is>
      </c>
      <c r="E38" s="46" t="inlineStr">
        <is>
          <t>Adjunct Faculty — FinTech &amp; AI Audit</t>
        </is>
      </c>
      <c r="F38" s="17" t="n">
        <v>4</v>
      </c>
      <c r="G38" s="31" t="n">
        <v>6.2</v>
      </c>
      <c r="H38" s="46" t="inlineStr">
        <is>
          <t>Adjunct apps — submit via PeopleAdmin. Stack teaching credential while search runs.</t>
        </is>
      </c>
      <c r="I38" s="1" t="n"/>
      <c r="J38" s="1" t="n"/>
    </row>
    <row r="39" ht="32" customHeight="1">
      <c r="A39" s="1" t="n"/>
      <c r="B39" s="39" t="inlineStr">
        <is>
          <t>Week 4</t>
        </is>
      </c>
      <c r="C39" s="22" t="inlineStr">
        <is>
          <t>Jun 08 – Jun 12</t>
        </is>
      </c>
      <c r="D39" s="33" t="inlineStr">
        <is>
          <t>FIU Online</t>
        </is>
      </c>
      <c r="E39" s="47" t="inlineStr">
        <is>
          <t>Adjunct Faculty — AI Ethics &amp; Audit</t>
        </is>
      </c>
      <c r="F39" s="22" t="n">
        <v>4</v>
      </c>
      <c r="G39" s="35" t="n">
        <v>6</v>
      </c>
      <c r="H39" s="47" t="inlineStr">
        <is>
          <t>Adjunct apps — submit via PeopleAdmin. Stack teaching credential while search runs.</t>
        </is>
      </c>
      <c r="I39" s="1" t="n"/>
      <c r="J39" s="1" t="n"/>
    </row>
    <row r="40" ht="32" customHeight="1">
      <c r="A40" s="1" t="n"/>
      <c r="B40" s="39" t="inlineStr">
        <is>
          <t>Week 4</t>
        </is>
      </c>
      <c r="C40" s="17" t="inlineStr">
        <is>
          <t>Jun 08 – Jun 12</t>
        </is>
      </c>
      <c r="D40" s="29" t="inlineStr">
        <is>
          <t>NJIT</t>
        </is>
      </c>
      <c r="E40" s="46" t="inlineStr">
        <is>
          <t>Adjunct Faculty — Risk Management</t>
        </is>
      </c>
      <c r="F40" s="17" t="n">
        <v>4</v>
      </c>
      <c r="G40" s="31" t="n">
        <v>5.8</v>
      </c>
      <c r="H40" s="46" t="inlineStr">
        <is>
          <t>Adjunct apps — submit via PeopleAdmin. Stack teaching credential while search runs.</t>
        </is>
      </c>
      <c r="I40" s="1" t="n"/>
      <c r="J40" s="1" t="n"/>
    </row>
    <row r="41" ht="32" customHeight="1">
      <c r="A41" s="1" t="n"/>
      <c r="B41" s="39" t="inlineStr">
        <is>
          <t>Week 4</t>
        </is>
      </c>
      <c r="C41" s="22" t="inlineStr">
        <is>
          <t>Jun 08 – Jun 12</t>
        </is>
      </c>
      <c r="D41" s="33" t="inlineStr">
        <is>
          <t>Rider University</t>
        </is>
      </c>
      <c r="E41" s="47" t="inlineStr">
        <is>
          <t>Adjunct Faculty — Accounting &amp; Audit</t>
        </is>
      </c>
      <c r="F41" s="22" t="n">
        <v>4</v>
      </c>
      <c r="G41" s="35" t="n">
        <v>5.7</v>
      </c>
      <c r="H41" s="47" t="inlineStr">
        <is>
          <t>Adjunct apps — submit via PeopleAdmin. Stack teaching credential while search runs.</t>
        </is>
      </c>
      <c r="I41" s="1" t="n"/>
      <c r="J41" s="1" t="n"/>
    </row>
    <row r="42" ht="32" customHeight="1">
      <c r="A42" s="1" t="n"/>
      <c r="B42" s="39" t="inlineStr">
        <is>
          <t>Week 4</t>
        </is>
      </c>
      <c r="C42" s="17" t="inlineStr">
        <is>
          <t>Jun 08 – Jun 12</t>
        </is>
      </c>
      <c r="D42" s="29" t="inlineStr">
        <is>
          <t>Saint Peter's University</t>
        </is>
      </c>
      <c r="E42" s="46" t="inlineStr">
        <is>
          <t>Adjunct Faculty — Auditing</t>
        </is>
      </c>
      <c r="F42" s="17" t="n">
        <v>4</v>
      </c>
      <c r="G42" s="31" t="n">
        <v>5.7</v>
      </c>
      <c r="H42" s="46" t="inlineStr">
        <is>
          <t>Adjunct apps — submit via PeopleAdmin. Stack teaching credential while search runs.</t>
        </is>
      </c>
      <c r="I42" s="1" t="n"/>
      <c r="J42" s="1" t="n"/>
    </row>
    <row r="43" ht="32" customHeight="1">
      <c r="A43" s="1" t="n"/>
      <c r="B43" s="39" t="inlineStr">
        <is>
          <t>Week 4</t>
        </is>
      </c>
      <c r="C43" s="22" t="inlineStr">
        <is>
          <t>Jun 08 – Jun 12</t>
        </is>
      </c>
      <c r="D43" s="33" t="inlineStr">
        <is>
          <t>Fairleigh Dickinson University</t>
        </is>
      </c>
      <c r="E43" s="47" t="inlineStr">
        <is>
          <t>Adjunct Faculty — Risk &amp; Compliance</t>
        </is>
      </c>
      <c r="F43" s="22" t="n">
        <v>4</v>
      </c>
      <c r="G43" s="35" t="n">
        <v>5.6</v>
      </c>
      <c r="H43" s="47" t="inlineStr">
        <is>
          <t>Adjunct apps — submit via PeopleAdmin. Stack teaching credential while search runs.</t>
        </is>
      </c>
      <c r="I43" s="1" t="n"/>
      <c r="J43" s="1" t="n"/>
    </row>
    <row r="44" ht="32" customHeight="1">
      <c r="A44" s="1" t="n"/>
      <c r="B44" s="39" t="inlineStr">
        <is>
          <t>Week 4</t>
        </is>
      </c>
      <c r="C44" s="17" t="inlineStr">
        <is>
          <t>Jun 08 – Jun 12</t>
        </is>
      </c>
      <c r="D44" s="29" t="inlineStr">
        <is>
          <t>Kean University</t>
        </is>
      </c>
      <c r="E44" s="46" t="inlineStr">
        <is>
          <t>Adjunct Faculty — AI Ethics</t>
        </is>
      </c>
      <c r="F44" s="17" t="n">
        <v>4</v>
      </c>
      <c r="G44" s="31" t="n">
        <v>5.6</v>
      </c>
      <c r="H44" s="46" t="inlineStr">
        <is>
          <t>Adjunct apps — submit via PeopleAdmin. Stack teaching credential while search runs.</t>
        </is>
      </c>
      <c r="I44" s="1" t="n"/>
      <c r="J44" s="1" t="n"/>
    </row>
    <row r="45" ht="32" customHeight="1">
      <c r="A45" s="1" t="n"/>
      <c r="B45" s="39" t="inlineStr">
        <is>
          <t>Week 4</t>
        </is>
      </c>
      <c r="C45" s="22" t="inlineStr">
        <is>
          <t>Jun 08 – Jun 12</t>
        </is>
      </c>
      <c r="D45" s="33" t="inlineStr">
        <is>
          <t>New Jersey City University</t>
        </is>
      </c>
      <c r="E45" s="47" t="inlineStr">
        <is>
          <t>Adjunct Faculty — Risk Management</t>
        </is>
      </c>
      <c r="F45" s="22" t="n">
        <v>4</v>
      </c>
      <c r="G45" s="35" t="n">
        <v>5.6</v>
      </c>
      <c r="H45" s="47" t="inlineStr">
        <is>
          <t>Adjunct apps — submit via PeopleAdmin. Stack teaching credential while search runs.</t>
        </is>
      </c>
      <c r="I45" s="1" t="n"/>
      <c r="J45" s="1" t="n"/>
    </row>
    <row r="46" ht="32" customHeight="1">
      <c r="A46" s="1" t="n"/>
      <c r="B46" s="39" t="inlineStr">
        <is>
          <t>Week 4</t>
        </is>
      </c>
      <c r="C46" s="17" t="inlineStr">
        <is>
          <t>Jun 08 – Jun 12</t>
        </is>
      </c>
      <c r="D46" s="29" t="inlineStr">
        <is>
          <t>Montclair State University</t>
        </is>
      </c>
      <c r="E46" s="46" t="inlineStr">
        <is>
          <t>Adjunct Faculty — Accounting</t>
        </is>
      </c>
      <c r="F46" s="17" t="n">
        <v>4</v>
      </c>
      <c r="G46" s="31" t="n">
        <v>5.5</v>
      </c>
      <c r="H46" s="46" t="inlineStr">
        <is>
          <t>Adjunct apps — submit via PeopleAdmin. Stack teaching credential while search runs.</t>
        </is>
      </c>
      <c r="I46" s="1" t="n"/>
      <c r="J46" s="1" t="n"/>
    </row>
    <row r="47" ht="32" customHeight="1">
      <c r="A47" s="1" t="n"/>
      <c r="B47" s="39" t="inlineStr">
        <is>
          <t>Week 4</t>
        </is>
      </c>
      <c r="C47" s="22" t="inlineStr">
        <is>
          <t>Jun 08 – Jun 12</t>
        </is>
      </c>
      <c r="D47" s="33" t="inlineStr">
        <is>
          <t>William Paterson University</t>
        </is>
      </c>
      <c r="E47" s="47" t="inlineStr">
        <is>
          <t>Adjunct Faculty — Business</t>
        </is>
      </c>
      <c r="F47" s="22" t="n">
        <v>4</v>
      </c>
      <c r="G47" s="35" t="n">
        <v>5.5</v>
      </c>
      <c r="H47" s="47" t="inlineStr">
        <is>
          <t>Adjunct apps — submit via PeopleAdmin. Stack teaching credential while search runs.</t>
        </is>
      </c>
      <c r="I47" s="1" t="n"/>
      <c r="J47" s="1" t="n"/>
    </row>
    <row r="48" ht="32" customHeight="1">
      <c r="A48" s="1" t="n"/>
      <c r="B48" s="39" t="inlineStr">
        <is>
          <t>Week 4</t>
        </is>
      </c>
      <c r="C48" s="17" t="inlineStr">
        <is>
          <t>Jun 08 – Jun 12</t>
        </is>
      </c>
      <c r="D48" s="29" t="inlineStr">
        <is>
          <t>Mercer County Community College</t>
        </is>
      </c>
      <c r="E48" s="46" t="inlineStr">
        <is>
          <t>Adjunct Faculty — Business Audit</t>
        </is>
      </c>
      <c r="F48" s="17" t="n">
        <v>4</v>
      </c>
      <c r="G48" s="31" t="n">
        <v>5.5</v>
      </c>
      <c r="H48" s="46" t="inlineStr">
        <is>
          <t>Adjunct apps — submit via PeopleAdmin. Stack teaching credential while search runs.</t>
        </is>
      </c>
      <c r="I48" s="1" t="n"/>
      <c r="J48" s="1" t="n"/>
    </row>
    <row r="49" ht="32" customHeight="1">
      <c r="A49" s="1" t="n"/>
      <c r="B49" s="39" t="inlineStr">
        <is>
          <t>Week 4</t>
        </is>
      </c>
      <c r="C49" s="22" t="inlineStr">
        <is>
          <t>Jun 08 – Jun 12</t>
        </is>
      </c>
      <c r="D49" s="33" t="inlineStr">
        <is>
          <t>Essex County College</t>
        </is>
      </c>
      <c r="E49" s="47" t="inlineStr">
        <is>
          <t>Adjunct Faculty — Business Management</t>
        </is>
      </c>
      <c r="F49" s="22" t="n">
        <v>4</v>
      </c>
      <c r="G49" s="35" t="n">
        <v>5.5</v>
      </c>
      <c r="H49" s="47" t="inlineStr">
        <is>
          <t>Adjunct apps — submit via PeopleAdmin. Stack teaching credential while search runs.</t>
        </is>
      </c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2026-05-22T03:41:00Z</dcterms:created>
  <dcterms:modified xsi:type="dcterms:W3CDTF">2026-05-22T03:41:00Z</dcterms:modified>
</cp:coreProperties>
</file>